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filterPrivacy="1"/>
  <xr:revisionPtr revIDLastSave="0" documentId="13_ncr:1_{F539D6E7-4210-4565-B737-EC47F6635959}" xr6:coauthVersionLast="47" xr6:coauthVersionMax="47" xr10:uidLastSave="{00000000-0000-0000-0000-000000000000}"/>
  <bookViews>
    <workbookView xWindow="19090" yWindow="-110" windowWidth="19420" windowHeight="11020" xr2:uid="{00000000-000D-0000-FFFF-FFFF00000000}"/>
  </bookViews>
  <sheets>
    <sheet name="RESUMEN NO PELIGROSOS" sheetId="3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1" i="3" l="1"/>
  <c r="E31" i="3"/>
  <c r="F31" i="3"/>
  <c r="G31" i="3"/>
  <c r="H31" i="3"/>
  <c r="I31" i="3"/>
  <c r="J31" i="3"/>
  <c r="C31" i="3"/>
</calcChain>
</file>

<file path=xl/sharedStrings.xml><?xml version="1.0" encoding="utf-8"?>
<sst xmlns="http://schemas.openxmlformats.org/spreadsheetml/2006/main" count="10" uniqueCount="10">
  <si>
    <t>TOTALES</t>
  </si>
  <si>
    <t>Disposicion RAD</t>
  </si>
  <si>
    <t>Traslado RAD</t>
  </si>
  <si>
    <t>Disposicion Corteza</t>
  </si>
  <si>
    <t>Traslado Corteza</t>
  </si>
  <si>
    <t>Disposicion Escoria</t>
  </si>
  <si>
    <t>Traslado Escoria</t>
  </si>
  <si>
    <t>Disposicion Ceniza</t>
  </si>
  <si>
    <t>Traslado Ceniza</t>
  </si>
  <si>
    <t>Fecha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</si>
</sst>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2" formatCode="_ &quot;$&quot;* #,##0_ ;_ &quot;$&quot;* \-#,##0_ ;_ &quot;$&quot;* &quot;-&quot;_ ;_ @_ "/>
    <numFmt numFmtId="41" formatCode="_ * #,##0_ ;_ * \-#,##0_ ;_ * &quot;-&quot;_ ;_ @_ "/>
    <numFmt numFmtId="164" formatCode="_-&quot;$&quot;\ * #,##0.00_-;\-&quot;$&quot;\ * #,##0.00_-;_-&quot;$&quot;\ * &quot;-&quot;??_-;_-@_-"/>
    <numFmt numFmtId="165" formatCode="_-* #,##0.00_-;\-* #,##0.00_-;_-* &quot;-&quot;??_-;_-@_-"/>
    <numFmt numFmtId="166" formatCode="\ mmmm\ \ yyyy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color theme="1"/>
      <name val="Arial"/>
      <family val="2"/>
    </font>
    <font>
      <sz val="11"/>
      <color indexed="8"/>
      <name val="Calibri"/>
      <family val="2"/>
    </font>
    <font>
      <sz val="10"/>
      <color rgb="FF000000"/>
      <name val="Calibri"/>
      <family val="2"/>
      <scheme val="minor"/>
    </font>
    <font>
      <sz val="11"/>
      <color indexed="8"/>
      <name val="Aptos Narrow"/>
      <family val="2"/>
    </font>
    <font>
      <u/>
      <sz val="10"/>
      <color indexed="12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8">
    <xf numFmtId="0" fontId="0" fillId="0" borderId="0"/>
    <xf numFmtId="42" fontId="1" fillId="0" borderId="0" applyFont="0" applyFill="0" applyBorder="0" applyAlignment="0" applyProtection="0"/>
    <xf numFmtId="0" fontId="1" fillId="0" borderId="0"/>
    <xf numFmtId="0" fontId="2" fillId="0" borderId="0"/>
    <xf numFmtId="0" fontId="3" fillId="0" borderId="0"/>
    <xf numFmtId="0" fontId="4" fillId="0" borderId="0"/>
    <xf numFmtId="164" fontId="3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5" fillId="0" borderId="0"/>
    <xf numFmtId="42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0" fontId="2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7" fillId="0" borderId="0" applyNumberFormat="0" applyFill="0" applyBorder="0" applyAlignment="0" applyProtection="0">
      <alignment vertical="top"/>
      <protection locked="0"/>
    </xf>
    <xf numFmtId="42" fontId="1" fillId="0" borderId="0" applyFont="0" applyFill="0" applyBorder="0" applyAlignment="0" applyProtection="0"/>
    <xf numFmtId="42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2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2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2" fontId="1" fillId="0" borderId="0" applyFont="0" applyFill="0" applyBorder="0" applyAlignment="0" applyProtection="0"/>
  </cellStyleXfs>
  <cellXfs count="8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/>
    </xf>
    <xf numFmtId="166" fontId="0" fillId="0" borderId="0" xfId="0" applyNumberFormat="1"/>
    <xf numFmtId="42" fontId="0" fillId="0" borderId="0" xfId="1" applyFont="1" applyAlignment="1">
      <alignment horizontal="right" vertical="center" wrapText="1"/>
    </xf>
    <xf numFmtId="1" fontId="0" fillId="0" borderId="0" xfId="1" applyNumberFormat="1" applyFont="1" applyAlignment="1">
      <alignment horizontal="right" vertical="center" wrapText="1"/>
    </xf>
    <xf numFmtId="42" fontId="0" fillId="0" borderId="0" xfId="1" applyFont="1" applyAlignment="1">
      <alignment horizontal="right"/>
    </xf>
    <xf numFmtId="42" fontId="0" fillId="0" borderId="0" xfId="1" applyFont="1" applyAlignment="1">
      <alignment horizontal="center" vertical="center" wrapText="1"/>
    </xf>
  </cellXfs>
  <cellStyles count="28">
    <cellStyle name="Hipervínculo 2" xfId="19" xr:uid="{00000000-0005-0000-0000-000000000000}"/>
    <cellStyle name="Millares [0] 4" xfId="13" xr:uid="{00000000-0005-0000-0000-000001000000}"/>
    <cellStyle name="Millares [0] 4 2" xfId="22" xr:uid="{00000000-0005-0000-0000-000002000000}"/>
    <cellStyle name="Millares [0] 4 2 2" xfId="26" xr:uid="{00000000-0005-0000-0000-000003000000}"/>
    <cellStyle name="Millares [0] 4 3" xfId="24" xr:uid="{00000000-0005-0000-0000-000004000000}"/>
    <cellStyle name="Millares 2" xfId="12" xr:uid="{00000000-0005-0000-0000-000005000000}"/>
    <cellStyle name="Moneda [0]" xfId="1" builtinId="7"/>
    <cellStyle name="Moneda [0] 2" xfId="9" xr:uid="{00000000-0005-0000-0000-000007000000}"/>
    <cellStyle name="Moneda [0] 2 2" xfId="21" xr:uid="{00000000-0005-0000-0000-000008000000}"/>
    <cellStyle name="Moneda [0] 2 2 2" xfId="25" xr:uid="{00000000-0005-0000-0000-000009000000}"/>
    <cellStyle name="Moneda [0] 2 3" xfId="23" xr:uid="{00000000-0005-0000-0000-00000A000000}"/>
    <cellStyle name="Moneda [0] 3" xfId="20" xr:uid="{00000000-0005-0000-0000-00000B000000}"/>
    <cellStyle name="Moneda [0] 3 2" xfId="27" xr:uid="{00000000-0005-0000-0000-00000C000000}"/>
    <cellStyle name="Moneda 2" xfId="6" xr:uid="{00000000-0005-0000-0000-00000D000000}"/>
    <cellStyle name="Normal" xfId="0" builtinId="0"/>
    <cellStyle name="Normal 10 4" xfId="15" xr:uid="{00000000-0005-0000-0000-00000F000000}"/>
    <cellStyle name="Normal 12" xfId="17" xr:uid="{00000000-0005-0000-0000-000010000000}"/>
    <cellStyle name="Normal 2" xfId="4" xr:uid="{00000000-0005-0000-0000-000011000000}"/>
    <cellStyle name="Normal 2 2" xfId="3" xr:uid="{00000000-0005-0000-0000-000012000000}"/>
    <cellStyle name="Normal 2_Xl0000003_Planilla de cobro aserrindic" xfId="5" xr:uid="{00000000-0005-0000-0000-000013000000}"/>
    <cellStyle name="Normal 3" xfId="8" xr:uid="{00000000-0005-0000-0000-000014000000}"/>
    <cellStyle name="Normal 3 3" xfId="14" xr:uid="{00000000-0005-0000-0000-000015000000}"/>
    <cellStyle name="Normal 4" xfId="2" xr:uid="{00000000-0005-0000-0000-000016000000}"/>
    <cellStyle name="Normal 4 2" xfId="10" xr:uid="{00000000-0005-0000-0000-000017000000}"/>
    <cellStyle name="Normal 5" xfId="18" xr:uid="{00000000-0005-0000-0000-000018000000}"/>
    <cellStyle name="Normal 5 5" xfId="16" xr:uid="{00000000-0005-0000-0000-000019000000}"/>
    <cellStyle name="Porcentaje 2" xfId="7" xr:uid="{00000000-0005-0000-0000-00001A000000}"/>
    <cellStyle name="Porcentual 2 2" xfId="11" xr:uid="{00000000-0005-0000-0000-00001B000000}"/>
  </cellStyles>
  <dxfs count="9">
    <dxf>
      <alignment horizontal="right" textRotation="0" indent="0" justifyLastLine="0" shrinkToFit="0" readingOrder="0"/>
    </dxf>
    <dxf>
      <alignment horizontal="right" textRotation="0" indent="0" justifyLastLine="0" shrinkToFit="0" readingOrder="0"/>
    </dxf>
    <dxf>
      <alignment horizontal="right" textRotation="0" indent="0" justifyLastLine="0" shrinkToFit="0" readingOrder="0"/>
    </dxf>
    <dxf>
      <alignment horizontal="right" textRotation="0" indent="0" justifyLastLine="0" shrinkToFit="0" readingOrder="0"/>
    </dxf>
    <dxf>
      <alignment horizontal="right" textRotation="0" indent="0" justifyLastLine="0" shrinkToFit="0" readingOrder="0"/>
    </dxf>
    <dxf>
      <alignment horizontal="right" textRotation="0" indent="0" justifyLastLine="0" shrinkToFit="0" readingOrder="0"/>
    </dxf>
    <dxf>
      <alignment horizontal="right" textRotation="0" indent="0" justifyLastLine="0" shrinkToFit="0" readingOrder="0"/>
    </dxf>
    <dxf>
      <alignment horizontal="right" textRotation="0" indent="0" justifyLastLine="0" shrinkToFit="0" readingOrder="0"/>
    </dxf>
    <dxf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0AC6879-8D6D-4A6B-9ECE-DBF7FAD8B8C0}" name="Tabla26" displayName="Tabla26" ref="B1:J31" totalsRowShown="0" headerRowDxfId="8">
  <autoFilter ref="B1:J31" xr:uid="{20AC6879-8D6D-4A6B-9ECE-DBF7FAD8B8C0}"/>
  <tableColumns count="9">
    <tableColumn id="1" xr3:uid="{E6807B80-EBCA-4C51-8D9D-5C282861718A}" name="Fecha"/>
    <tableColumn id="2" xr3:uid="{C012A70F-E663-4EE6-919A-774363F23064}" name="Disposicion RAD" dataDxfId="7"/>
    <tableColumn id="3" xr3:uid="{97ADE89F-27C5-4841-9F1E-BDCC6BC6AC1F}" name="Traslado RAD" dataDxfId="6"/>
    <tableColumn id="4" xr3:uid="{762692D2-8492-4049-BCC6-E8A9B8AB426A}" name="Disposicion Corteza" dataDxfId="5"/>
    <tableColumn id="5" xr3:uid="{2AE51A8F-9A62-4AB9-9BA4-1F918F1E5B55}" name="Traslado Corteza" dataDxfId="4"/>
    <tableColumn id="6" xr3:uid="{AACDE725-EE37-4DE1-826D-51EEA6849CA1}" name="Disposicion Escoria" dataDxfId="3"/>
    <tableColumn id="7" xr3:uid="{274210C2-5886-427D-9B1C-71E7EE773EFE}" name="Traslado Escoria" dataDxfId="2"/>
    <tableColumn id="8" xr3:uid="{ED800920-7640-4167-9660-5608615B99CB}" name="Disposicion Ceniza" dataDxfId="1"/>
    <tableColumn id="9" xr3:uid="{D10F65CC-59EA-494A-9AB1-7081C7A0C4D4}" name="Traslado Ceniza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2DD2E-CD4D-4B96-BF1C-E579F5B22750}">
  <dimension ref="B1:J31"/>
  <sheetViews>
    <sheetView tabSelected="1" zoomScaleNormal="100" workbookViewId="0">
      <pane ySplit="1" topLeftCell="A18" activePane="bottomLeft" state="frozen"/>
      <selection pane="bottomLeft" activeCell="H34" sqref="H34"/>
    </sheetView>
  </sheetViews>
  <sheetFormatPr baseColWidth="10" defaultRowHeight="14.5" x14ac:dyDescent="0.35"/>
  <cols>
    <col min="2" max="2" width="17.81640625" bestFit="1" customWidth="1"/>
    <col min="3" max="10" width="14.08984375" customWidth="1"/>
  </cols>
  <sheetData>
    <row r="1" spans="2:10" ht="29" x14ac:dyDescent="0.35">
      <c r="B1" s="1" t="s">
        <v>9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</row>
    <row r="2" spans="2:10" x14ac:dyDescent="0.35">
      <c r="B2" s="3">
        <v>45292</v>
      </c>
      <c r="C2" s="4">
        <v>1360800</v>
      </c>
      <c r="D2" s="4">
        <v>372254.39999999997</v>
      </c>
      <c r="E2" s="5">
        <v>0</v>
      </c>
      <c r="F2" s="4">
        <v>2474095.58</v>
      </c>
      <c r="G2" s="4">
        <v>98848.610640000014</v>
      </c>
      <c r="H2" s="4">
        <v>364137.15</v>
      </c>
      <c r="I2" s="4">
        <v>443000.46240000002</v>
      </c>
      <c r="J2" s="4">
        <v>1761443.4000000001</v>
      </c>
    </row>
    <row r="3" spans="2:10" x14ac:dyDescent="0.35">
      <c r="B3" s="3">
        <v>45324</v>
      </c>
      <c r="C3" s="4">
        <v>1206400</v>
      </c>
      <c r="D3" s="4">
        <v>371269.60000000003</v>
      </c>
      <c r="E3" s="5">
        <v>0</v>
      </c>
      <c r="F3" s="4">
        <v>2260040.88</v>
      </c>
      <c r="G3" s="5">
        <v>0</v>
      </c>
      <c r="H3" s="5">
        <v>0</v>
      </c>
      <c r="I3" s="4">
        <v>588229.74</v>
      </c>
      <c r="J3" s="4">
        <v>2121243.6</v>
      </c>
    </row>
    <row r="4" spans="2:10" x14ac:dyDescent="0.35">
      <c r="B4" s="3">
        <v>45354</v>
      </c>
      <c r="C4" s="4">
        <v>921600</v>
      </c>
      <c r="D4" s="4">
        <v>289382.40000000002</v>
      </c>
      <c r="E4" s="5">
        <v>0</v>
      </c>
      <c r="F4" s="4">
        <v>2483042.7599999998</v>
      </c>
      <c r="G4" s="4">
        <v>107830.86263999998</v>
      </c>
      <c r="H4" s="4">
        <v>393365.55</v>
      </c>
      <c r="I4" s="4">
        <v>782302.33679999993</v>
      </c>
      <c r="J4" s="4">
        <v>2638148.1</v>
      </c>
    </row>
    <row r="5" spans="2:10" x14ac:dyDescent="0.35">
      <c r="B5" s="3">
        <v>45386</v>
      </c>
      <c r="C5" s="4">
        <v>2012400</v>
      </c>
      <c r="D5" s="4">
        <v>539211.4</v>
      </c>
      <c r="E5" s="5">
        <v>0</v>
      </c>
      <c r="F5" s="4">
        <v>2660517.42</v>
      </c>
      <c r="G5" s="4">
        <v>73666.934460000004</v>
      </c>
      <c r="H5" s="4">
        <v>297248.53999999998</v>
      </c>
      <c r="I5" s="4">
        <v>756790.81380000012</v>
      </c>
      <c r="J5" s="4">
        <v>2699402.1</v>
      </c>
    </row>
    <row r="6" spans="2:10" x14ac:dyDescent="0.35">
      <c r="B6" s="3">
        <v>45417</v>
      </c>
      <c r="C6" s="4">
        <v>2394000</v>
      </c>
      <c r="D6" s="4">
        <v>641459</v>
      </c>
      <c r="E6" s="5">
        <v>0</v>
      </c>
      <c r="F6" s="4">
        <v>3350320.2</v>
      </c>
      <c r="G6" s="5">
        <v>0</v>
      </c>
      <c r="H6" s="5">
        <v>0</v>
      </c>
      <c r="I6" s="4">
        <v>658419.18660000002</v>
      </c>
      <c r="J6" s="4">
        <v>2348519.6999999997</v>
      </c>
    </row>
    <row r="7" spans="2:10" x14ac:dyDescent="0.35">
      <c r="B7" s="3">
        <v>45449</v>
      </c>
      <c r="C7" s="4">
        <v>1614600</v>
      </c>
      <c r="D7" s="4">
        <v>441682.8</v>
      </c>
      <c r="E7" s="5">
        <v>0</v>
      </c>
      <c r="F7" s="4">
        <v>4404742.4000000004</v>
      </c>
      <c r="G7" s="4">
        <v>91186.904219999997</v>
      </c>
      <c r="H7" s="4">
        <v>328413.55</v>
      </c>
      <c r="I7" s="4">
        <v>1012185.9083999998</v>
      </c>
      <c r="J7" s="4">
        <v>3369924.6</v>
      </c>
    </row>
    <row r="8" spans="2:10" x14ac:dyDescent="0.35">
      <c r="B8" s="3">
        <v>45480</v>
      </c>
      <c r="C8" s="4">
        <v>1274400</v>
      </c>
      <c r="D8" s="4">
        <v>348619.2</v>
      </c>
      <c r="E8" s="5">
        <v>0</v>
      </c>
      <c r="F8" s="4">
        <v>3312192.62</v>
      </c>
      <c r="G8" s="4">
        <v>278798.23005000001</v>
      </c>
      <c r="H8" s="4">
        <v>1003914.35</v>
      </c>
      <c r="I8" s="4">
        <v>1337059.041</v>
      </c>
      <c r="J8" s="4">
        <v>4450702.2</v>
      </c>
    </row>
    <row r="9" spans="2:10" x14ac:dyDescent="0.35">
      <c r="B9" s="3">
        <v>45512</v>
      </c>
      <c r="C9" s="4">
        <v>1029600</v>
      </c>
      <c r="D9" s="4">
        <v>294008</v>
      </c>
      <c r="E9" s="5">
        <v>0</v>
      </c>
      <c r="F9" s="4">
        <v>3197181.24</v>
      </c>
      <c r="G9" s="4">
        <v>168082.90044</v>
      </c>
      <c r="H9" s="4">
        <v>905907.8</v>
      </c>
      <c r="I9" s="4">
        <v>647866.70520000008</v>
      </c>
      <c r="J9" s="4">
        <v>3319144.4000000004</v>
      </c>
    </row>
    <row r="10" spans="2:10" x14ac:dyDescent="0.35">
      <c r="B10" s="3">
        <v>45544</v>
      </c>
      <c r="C10" s="4">
        <v>1351800</v>
      </c>
      <c r="D10" s="4">
        <v>378278.69999999995</v>
      </c>
      <c r="E10" s="4">
        <v>572864</v>
      </c>
      <c r="F10" s="4">
        <v>1755578.2</v>
      </c>
      <c r="G10" s="4">
        <v>88142</v>
      </c>
      <c r="H10" s="4">
        <v>399116</v>
      </c>
      <c r="I10" s="4">
        <v>605278</v>
      </c>
      <c r="J10" s="4">
        <v>2007614</v>
      </c>
    </row>
    <row r="11" spans="2:10" x14ac:dyDescent="0.35">
      <c r="B11" s="3">
        <v>45575</v>
      </c>
      <c r="C11" s="4">
        <v>1614600</v>
      </c>
      <c r="D11" s="4">
        <v>459891.9</v>
      </c>
      <c r="E11" s="4">
        <v>1744495</v>
      </c>
      <c r="F11" s="4">
        <v>1965253</v>
      </c>
      <c r="G11" s="4">
        <v>165227.5</v>
      </c>
      <c r="H11" s="4">
        <v>188651.75</v>
      </c>
      <c r="I11" s="4">
        <v>1121702.6000000001</v>
      </c>
      <c r="J11" s="4">
        <v>1696055.2000000002</v>
      </c>
    </row>
    <row r="12" spans="2:10" x14ac:dyDescent="0.35">
      <c r="B12" s="3">
        <v>45607</v>
      </c>
      <c r="C12" s="4">
        <v>946800</v>
      </c>
      <c r="D12" s="4">
        <v>275203.20000000001</v>
      </c>
      <c r="E12" s="4">
        <v>2671306</v>
      </c>
      <c r="F12" s="4">
        <v>2949212</v>
      </c>
      <c r="G12" s="4">
        <v>113738</v>
      </c>
      <c r="H12" s="4">
        <v>129862.6</v>
      </c>
      <c r="I12" s="4">
        <v>998127.79999999993</v>
      </c>
      <c r="J12" s="4">
        <v>1540052.0999999999</v>
      </c>
    </row>
    <row r="13" spans="2:10" x14ac:dyDescent="0.35">
      <c r="B13" s="3">
        <v>45638</v>
      </c>
      <c r="C13" s="4">
        <v>1273860</v>
      </c>
      <c r="D13" s="4">
        <v>362837.79</v>
      </c>
      <c r="E13" s="4">
        <v>2832384</v>
      </c>
      <c r="F13" s="4">
        <v>3095167</v>
      </c>
      <c r="G13" s="4">
        <v>206726.5</v>
      </c>
      <c r="H13" s="4">
        <v>236034.05</v>
      </c>
      <c r="I13" s="4">
        <v>1064372.5</v>
      </c>
      <c r="J13" s="4">
        <v>1642263.75</v>
      </c>
    </row>
    <row r="14" spans="2:10" x14ac:dyDescent="0.35">
      <c r="B14" s="3">
        <v>45658</v>
      </c>
      <c r="C14" s="6">
        <v>1452600</v>
      </c>
      <c r="D14" s="6">
        <v>372374.00999999995</v>
      </c>
      <c r="E14" s="6">
        <v>2470881</v>
      </c>
      <c r="F14" s="6">
        <v>2727936</v>
      </c>
      <c r="G14" s="6">
        <v>228244.5</v>
      </c>
      <c r="H14" s="6">
        <v>260602.65</v>
      </c>
      <c r="I14" s="6">
        <v>1146755.7</v>
      </c>
      <c r="J14" s="6">
        <v>1733936.4</v>
      </c>
    </row>
    <row r="15" spans="2:10" x14ac:dyDescent="0.35">
      <c r="B15" s="3">
        <v>45690</v>
      </c>
      <c r="C15" s="6">
        <v>278600</v>
      </c>
      <c r="D15" s="6">
        <v>72881.759999999995</v>
      </c>
      <c r="E15" s="6">
        <v>3090139</v>
      </c>
      <c r="F15" s="6">
        <v>3376836</v>
      </c>
      <c r="G15" s="5">
        <v>0</v>
      </c>
      <c r="H15" s="5">
        <v>0</v>
      </c>
      <c r="I15" s="6">
        <v>1135228.2</v>
      </c>
      <c r="J15" s="6">
        <v>1716506.4</v>
      </c>
    </row>
    <row r="16" spans="2:10" x14ac:dyDescent="0.35">
      <c r="B16" s="3">
        <v>45719</v>
      </c>
      <c r="C16" s="6">
        <v>1102000</v>
      </c>
      <c r="D16" s="6">
        <v>288283.2</v>
      </c>
      <c r="E16" s="6">
        <v>3248142</v>
      </c>
      <c r="F16" s="6">
        <v>3549499</v>
      </c>
      <c r="G16" s="5">
        <v>0</v>
      </c>
      <c r="H16" s="5">
        <v>0</v>
      </c>
      <c r="I16" s="6">
        <v>1013651.5</v>
      </c>
      <c r="J16" s="6">
        <v>1564004.25</v>
      </c>
    </row>
    <row r="17" spans="2:10" x14ac:dyDescent="0.35">
      <c r="B17" s="3">
        <v>45751</v>
      </c>
      <c r="C17" s="6">
        <v>1595800.0000000002</v>
      </c>
      <c r="D17" s="6">
        <v>421450.78</v>
      </c>
      <c r="E17" s="6">
        <v>3310852</v>
      </c>
      <c r="F17" s="6">
        <v>3727239</v>
      </c>
      <c r="G17" s="6">
        <v>119732.3</v>
      </c>
      <c r="H17" s="6">
        <v>140835.41</v>
      </c>
      <c r="I17" s="6">
        <v>1184258.5</v>
      </c>
      <c r="J17" s="6">
        <v>1844731.0999999999</v>
      </c>
    </row>
    <row r="18" spans="2:10" x14ac:dyDescent="0.35">
      <c r="B18" s="3">
        <v>45782</v>
      </c>
      <c r="C18" s="6">
        <v>1556399.9999999998</v>
      </c>
      <c r="D18" s="6">
        <v>411045.24</v>
      </c>
      <c r="E18" s="6">
        <v>3251062</v>
      </c>
      <c r="F18" s="6">
        <v>3659931</v>
      </c>
      <c r="G18" s="5">
        <v>0</v>
      </c>
      <c r="H18" s="5">
        <v>0</v>
      </c>
      <c r="I18" s="6">
        <v>1033478.7999999999</v>
      </c>
      <c r="J18" s="6">
        <v>1642740.44</v>
      </c>
    </row>
    <row r="19" spans="2:10" x14ac:dyDescent="0.35">
      <c r="B19" s="3">
        <v>45814</v>
      </c>
      <c r="C19" s="6">
        <v>2734000</v>
      </c>
      <c r="D19" s="6">
        <v>707422.49999999988</v>
      </c>
      <c r="E19" s="6">
        <v>2823162</v>
      </c>
      <c r="F19" s="6">
        <v>3178215</v>
      </c>
      <c r="G19" s="6">
        <v>394086.8</v>
      </c>
      <c r="H19" s="6">
        <v>463545.56</v>
      </c>
      <c r="I19" s="6">
        <v>1240205.3</v>
      </c>
      <c r="J19" s="6">
        <v>1931879.98</v>
      </c>
    </row>
    <row r="20" spans="2:10" x14ac:dyDescent="0.35">
      <c r="B20" s="3">
        <v>45845</v>
      </c>
      <c r="C20" s="6">
        <v>1166400</v>
      </c>
      <c r="D20" s="6">
        <v>314344.8</v>
      </c>
      <c r="E20" s="6">
        <v>4249651</v>
      </c>
      <c r="F20" s="6">
        <v>4734891</v>
      </c>
      <c r="G20" s="5">
        <v>0</v>
      </c>
      <c r="H20" s="5">
        <v>0</v>
      </c>
      <c r="I20" s="6">
        <v>1667491.2999999998</v>
      </c>
      <c r="J20" s="6">
        <v>2597467.58</v>
      </c>
    </row>
    <row r="21" spans="2:10" x14ac:dyDescent="0.35">
      <c r="B21" s="3">
        <v>45877</v>
      </c>
      <c r="C21" s="6">
        <v>528200</v>
      </c>
      <c r="D21" s="6">
        <v>142349.9</v>
      </c>
      <c r="E21" s="6">
        <v>3629492</v>
      </c>
      <c r="F21" s="6">
        <v>4049594</v>
      </c>
      <c r="G21" s="6">
        <v>107315.36</v>
      </c>
      <c r="H21" s="6">
        <v>125106.68</v>
      </c>
      <c r="I21" s="6">
        <v>1185431.52</v>
      </c>
      <c r="J21" s="6">
        <v>1830126.48</v>
      </c>
    </row>
    <row r="22" spans="2:10" x14ac:dyDescent="0.35">
      <c r="B22" s="3">
        <v>45909</v>
      </c>
      <c r="C22" s="6">
        <v>324000</v>
      </c>
      <c r="D22" s="6">
        <v>87318</v>
      </c>
      <c r="E22" s="6">
        <v>2620232</v>
      </c>
      <c r="F22" s="6">
        <v>2953590</v>
      </c>
      <c r="G22" s="6">
        <v>242079.88</v>
      </c>
      <c r="H22" s="6">
        <v>282213.19</v>
      </c>
      <c r="I22" s="6">
        <v>1731313.12</v>
      </c>
      <c r="J22" s="6">
        <v>2672884.88</v>
      </c>
    </row>
    <row r="23" spans="2:10" x14ac:dyDescent="0.35">
      <c r="B23" s="3">
        <v>45940</v>
      </c>
      <c r="C23" s="6">
        <v>531200</v>
      </c>
      <c r="D23" s="6">
        <v>145070.72</v>
      </c>
      <c r="E23" s="6">
        <v>3296846</v>
      </c>
      <c r="F23" s="6">
        <v>3727766</v>
      </c>
      <c r="G23" s="6">
        <v>165005.12</v>
      </c>
      <c r="H23" s="6">
        <v>194935.44</v>
      </c>
      <c r="I23" s="6">
        <v>1436506.04</v>
      </c>
      <c r="J23" s="6">
        <v>2247481.69</v>
      </c>
    </row>
    <row r="24" spans="2:10" x14ac:dyDescent="0.35">
      <c r="B24" s="3">
        <v>45972</v>
      </c>
      <c r="C24" s="6">
        <v>615800</v>
      </c>
      <c r="D24" s="6">
        <v>168174.97999999998</v>
      </c>
      <c r="E24" s="6">
        <v>3131841</v>
      </c>
      <c r="F24" s="6">
        <v>3541193</v>
      </c>
      <c r="G24" s="6">
        <v>198967.64</v>
      </c>
      <c r="H24" s="6">
        <v>235058.43</v>
      </c>
      <c r="I24" s="6">
        <v>1374939.28</v>
      </c>
      <c r="J24" s="6">
        <v>2151157.58</v>
      </c>
    </row>
    <row r="25" spans="2:10" x14ac:dyDescent="0.35">
      <c r="B25" s="3">
        <v>46003</v>
      </c>
      <c r="C25" s="6">
        <v>316400</v>
      </c>
      <c r="D25" s="6">
        <v>86408.84</v>
      </c>
      <c r="E25" s="6">
        <v>2908680</v>
      </c>
      <c r="F25" s="6">
        <v>3288865</v>
      </c>
      <c r="G25" s="5">
        <v>0</v>
      </c>
      <c r="H25" s="5">
        <v>0</v>
      </c>
      <c r="I25" s="6">
        <v>1171009</v>
      </c>
      <c r="J25" s="6">
        <v>1832099.1300000001</v>
      </c>
    </row>
    <row r="26" spans="2:10" x14ac:dyDescent="0.35">
      <c r="B26" s="3">
        <v>46023</v>
      </c>
      <c r="C26" s="6">
        <v>170600</v>
      </c>
      <c r="D26" s="6">
        <v>46590.859999999993</v>
      </c>
      <c r="E26" s="6">
        <v>2451194</v>
      </c>
      <c r="F26" s="6">
        <v>2800033</v>
      </c>
      <c r="G26" s="5">
        <v>0</v>
      </c>
      <c r="H26" s="5">
        <v>0</v>
      </c>
      <c r="I26" s="6">
        <v>739266.36</v>
      </c>
      <c r="J26" s="6">
        <v>1216681</v>
      </c>
    </row>
    <row r="27" spans="2:10" x14ac:dyDescent="0.35">
      <c r="B27" s="3">
        <v>46055</v>
      </c>
      <c r="C27" s="6">
        <v>227480</v>
      </c>
      <c r="D27" s="6">
        <v>56477.08</v>
      </c>
      <c r="E27" s="6">
        <v>2674820</v>
      </c>
      <c r="F27" s="6">
        <v>3055483</v>
      </c>
      <c r="G27" s="5">
        <v>0</v>
      </c>
      <c r="H27" s="5">
        <v>0</v>
      </c>
      <c r="I27" s="6">
        <v>698325.24</v>
      </c>
      <c r="J27" s="6">
        <v>1149301</v>
      </c>
    </row>
    <row r="28" spans="2:10" x14ac:dyDescent="0.35">
      <c r="B28" s="3">
        <v>46084</v>
      </c>
      <c r="C28" s="6">
        <v>199320</v>
      </c>
      <c r="D28" s="6">
        <v>49485.72</v>
      </c>
      <c r="E28" s="6">
        <v>2349462</v>
      </c>
      <c r="F28" s="6">
        <v>2900191</v>
      </c>
      <c r="G28" s="6">
        <v>132593.40000000002</v>
      </c>
      <c r="H28" s="6">
        <v>156644.55000000002</v>
      </c>
      <c r="I28" s="6">
        <v>765474.88</v>
      </c>
      <c r="J28" s="6">
        <v>1259815</v>
      </c>
    </row>
    <row r="29" spans="2:10" x14ac:dyDescent="0.35">
      <c r="B29" s="3">
        <v>46116</v>
      </c>
      <c r="C29" s="6">
        <v>776160</v>
      </c>
      <c r="D29" s="6">
        <v>192699.36000000002</v>
      </c>
      <c r="E29" s="6">
        <v>1250565</v>
      </c>
      <c r="F29" s="6">
        <v>3227860</v>
      </c>
      <c r="G29" s="6">
        <v>201759.08</v>
      </c>
      <c r="H29" s="6">
        <v>238356.21</v>
      </c>
      <c r="I29" s="6">
        <v>167951.64</v>
      </c>
      <c r="J29" s="6">
        <v>276414</v>
      </c>
    </row>
    <row r="30" spans="2:10" x14ac:dyDescent="0.35">
      <c r="B30" s="3">
        <v>46173</v>
      </c>
      <c r="C30" s="6">
        <v>297440</v>
      </c>
      <c r="D30" s="6">
        <v>73846</v>
      </c>
      <c r="E30" s="5">
        <v>0</v>
      </c>
      <c r="F30" s="7">
        <v>4574441</v>
      </c>
      <c r="G30" s="5">
        <v>0</v>
      </c>
      <c r="H30" s="5">
        <v>0</v>
      </c>
      <c r="I30" s="6">
        <v>994993</v>
      </c>
      <c r="J30" s="6">
        <v>1588473</v>
      </c>
    </row>
    <row r="31" spans="2:10" x14ac:dyDescent="0.35">
      <c r="B31" s="2" t="s">
        <v>0</v>
      </c>
      <c r="C31" s="6">
        <f>SUBTOTAL(109,C2:C29)</f>
        <v>30575820</v>
      </c>
      <c r="D31" s="6">
        <f t="shared" ref="D31:J31" si="0">SUBTOTAL(109,D2:D29)</f>
        <v>8336476.1399999997</v>
      </c>
      <c r="E31" s="6">
        <f t="shared" si="0"/>
        <v>54578070</v>
      </c>
      <c r="F31" s="6">
        <f t="shared" si="0"/>
        <v>88406465.299999997</v>
      </c>
      <c r="G31" s="6">
        <f t="shared" si="0"/>
        <v>3182032.52245</v>
      </c>
      <c r="H31" s="6">
        <f t="shared" si="0"/>
        <v>6343949.4600000009</v>
      </c>
      <c r="I31" s="6">
        <f t="shared" si="0"/>
        <v>27706621.474199999</v>
      </c>
      <c r="J31" s="6">
        <f t="shared" si="0"/>
        <v>57261740.059999995</v>
      </c>
    </row>
  </sheetData>
  <pageMargins left="0.7" right="0.7" top="0.75" bottom="0.75" header="0.3" footer="0.3"/>
  <ignoredErrors>
    <ignoredError sqref="C31:J31" formulaRange="1"/>
  </ignoredErrors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RESUMEN NO PELIGROSOS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2026-06-03T15:39:27Z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f4e9a4a-eb20-4aad-9a64-8872817c1a6f_Enabled">
    <vt:lpwstr>true</vt:lpwstr>
  </property>
  <property fmtid="{D5CDD505-2E9C-101B-9397-08002B2CF9AE}" pid="3" name="MSIP_Label_9f4e9a4a-eb20-4aad-9a64-8872817c1a6f_SetDate">
    <vt:lpwstr>2026-05-21T15:19:42Z</vt:lpwstr>
  </property>
  <property fmtid="{D5CDD505-2E9C-101B-9397-08002B2CF9AE}" pid="4" name="MSIP_Label_9f4e9a4a-eb20-4aad-9a64-8872817c1a6f_Method">
    <vt:lpwstr>Standard</vt:lpwstr>
  </property>
  <property fmtid="{D5CDD505-2E9C-101B-9397-08002B2CF9AE}" pid="5" name="MSIP_Label_9f4e9a4a-eb20-4aad-9a64-8872817c1a6f_Name">
    <vt:lpwstr>defa4170-0d19-0005-0004-bc88714345d2</vt:lpwstr>
  </property>
  <property fmtid="{D5CDD505-2E9C-101B-9397-08002B2CF9AE}" pid="6" name="MSIP_Label_9f4e9a4a-eb20-4aad-9a64-8872817c1a6f_SiteId">
    <vt:lpwstr>7a599002-001c-432c-846e-1ddca9f6b299</vt:lpwstr>
  </property>
  <property fmtid="{D5CDD505-2E9C-101B-9397-08002B2CF9AE}" pid="7" name="MSIP_Label_9f4e9a4a-eb20-4aad-9a64-8872817c1a6f_ActionId">
    <vt:lpwstr>467e4fc5-8960-4ceb-8d76-4fa1ecae8266</vt:lpwstr>
  </property>
  <property fmtid="{D5CDD505-2E9C-101B-9397-08002B2CF9AE}" pid="8" name="MSIP_Label_9f4e9a4a-eb20-4aad-9a64-8872817c1a6f_ContentBits">
    <vt:lpwstr>0</vt:lpwstr>
  </property>
  <property fmtid="{D5CDD505-2E9C-101B-9397-08002B2CF9AE}" pid="9" name="MSIP_Label_9f4e9a4a-eb20-4aad-9a64-8872817c1a6f_Tag">
    <vt:lpwstr>10, 3, 0, 1</vt:lpwstr>
  </property>
</Properties>
</file>
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3DF24A9-AA5B-4BDE-A4FC-87D101635950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RESUMEN NO PELIGROS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3" l="1"/>
  <c r="Q33" i="3" l="1"/>
  <c r="P2" i="3" l="1"/>
  <c r="O2" i="3"/>
  <c r="Q2" i="3" s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E32" i="3"/>
  <c r="H32" i="3"/>
  <c r="K32" i="3"/>
  <c r="B32" i="3"/>
  <c r="Q30" i="3" l="1"/>
  <c r="Q25" i="3"/>
  <c r="Q17" i="3"/>
  <c r="Q9" i="3"/>
  <c r="Q7" i="3"/>
  <c r="Q31" i="3"/>
  <c r="Q26" i="3"/>
  <c r="Q18" i="3"/>
  <c r="Q10" i="3"/>
  <c r="Q23" i="3"/>
  <c r="Q24" i="3"/>
  <c r="Q8" i="3"/>
  <c r="Q28" i="3"/>
  <c r="Q20" i="3"/>
  <c r="Q12" i="3"/>
  <c r="Q4" i="3"/>
  <c r="Q27" i="3"/>
  <c r="Q19" i="3"/>
  <c r="Q11" i="3"/>
  <c r="Q3" i="3"/>
  <c r="Q16" i="3"/>
  <c r="Q15" i="3"/>
  <c r="O32" i="3"/>
  <c r="Q22" i="3"/>
  <c r="Q14" i="3"/>
  <c r="Q6" i="3"/>
  <c r="Q29" i="3"/>
  <c r="Q21" i="3"/>
  <c r="Q13" i="3"/>
  <c r="Q5" i="3"/>
  <c r="P32" i="3"/>
  <c r="D32" i="3"/>
  <c r="F32" i="3"/>
  <c r="G32" i="3"/>
  <c r="I32" i="3"/>
  <c r="J32" i="3"/>
  <c r="L32" i="3"/>
  <c r="M32" i="3"/>
  <c r="C32" i="3"/>
  <c r="Q32" i="3" l="1"/>
</calcChain>
</file>

<file path=xl/sharedStrings.xml><?xml version="1.0" encoding="utf-8"?>
<sst xmlns="http://schemas.openxmlformats.org/spreadsheetml/2006/main" count="16" uniqueCount="16">
  <si>
    <t>TOTALES</t>
  </si>
  <si>
    <t>Disposicion RAD</t>
  </si>
  <si>
    <t>Traslado RAD</t>
  </si>
  <si>
    <t>Disposicion Corteza</t>
  </si>
  <si>
    <t>Traslado Corteza</t>
  </si>
  <si>
    <t>Disposicion Escoria</t>
  </si>
  <si>
    <t>Traslado Escoria</t>
  </si>
  <si>
    <t>Disposicion Ceniza</t>
  </si>
  <si>
    <t>Traslado Ceniza</t>
  </si>
  <si>
    <t>Fecha</t>
  </si>
  <si>
    <t>Toneladas RAD</t>
  </si>
  <si>
    <t>Toneladas Corteza</t>
  </si>
  <si>
    <t>Toneladas Escoria</t>
  </si>
  <si>
    <t>Toneladas Ceniza</t>
  </si>
  <si>
    <t xml:space="preserve">disposicion </t>
  </si>
  <si>
    <t>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</si>
</sst>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41" formatCode="_ * #,##0_ ;_ * \-#,##0_ ;_ * &quot;-&quot;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\ mmmm\ \ yyyy"/>
    <numFmt numFmtId="167" formatCode="0.0\ \t"/>
    <numFmt numFmtId="168" formatCode="0.0\ &quot;t&quot;"/>
    <numFmt numFmtId="169" formatCode="0.00\ &quot;t&quot;"/>
    <numFmt numFmtId="170" formatCode="0.00\ \t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1"/>
      <color indexed="8"/>
      <name val="Aptos Narrow"/>
      <family val="2"/>
    </font>
    <font>
      <u/>
      <sz val="10"/>
      <color indexed="1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42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0" fontId="4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42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42" fontId="0" fillId="0" borderId="0" xfId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42" fontId="0" fillId="0" borderId="0" xfId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0" xfId="1" applyNumberFormat="1" applyFont="1" applyAlignment="1">
      <alignment horizontal="center" vertical="center" wrapText="1"/>
    </xf>
    <xf numFmtId="42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center"/>
    </xf>
    <xf numFmtId="169" fontId="0" fillId="0" borderId="0" xfId="0" applyNumberFormat="1"/>
    <xf numFmtId="17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/>
    </xf>
    <xf numFmtId="42" fontId="0" fillId="0" borderId="0" xfId="1" applyFont="1"/>
  </cellXfs>
  <cellStyles count="28">
    <cellStyle name="Hipervínculo 2" xfId="19" xr:uid="{00000000-0005-0000-0000-000000000000}"/>
    <cellStyle name="Millares [0] 4" xfId="13" xr:uid="{00000000-0005-0000-0000-000001000000}"/>
    <cellStyle name="Millares [0] 4 2" xfId="22" xr:uid="{00000000-0005-0000-0000-000002000000}"/>
    <cellStyle name="Millares [0] 4 2 2" xfId="26" xr:uid="{00000000-0005-0000-0000-000003000000}"/>
    <cellStyle name="Millares [0] 4 3" xfId="24" xr:uid="{00000000-0005-0000-0000-000004000000}"/>
    <cellStyle name="Millares 2" xfId="12" xr:uid="{00000000-0005-0000-0000-000005000000}"/>
    <cellStyle name="Moneda [0]" xfId="1" builtinId="7"/>
    <cellStyle name="Moneda [0] 2" xfId="9" xr:uid="{00000000-0005-0000-0000-000007000000}"/>
    <cellStyle name="Moneda [0] 2 2" xfId="21" xr:uid="{00000000-0005-0000-0000-000008000000}"/>
    <cellStyle name="Moneda [0] 2 2 2" xfId="25" xr:uid="{00000000-0005-0000-0000-000009000000}"/>
    <cellStyle name="Moneda [0] 2 3" xfId="23" xr:uid="{00000000-0005-0000-0000-00000A000000}"/>
    <cellStyle name="Moneda [0] 3" xfId="20" xr:uid="{00000000-0005-0000-0000-00000B000000}"/>
    <cellStyle name="Moneda [0] 3 2" xfId="27" xr:uid="{00000000-0005-0000-0000-00000C000000}"/>
    <cellStyle name="Moneda 2" xfId="6" xr:uid="{00000000-0005-0000-0000-00000D000000}"/>
    <cellStyle name="Normal" xfId="0" builtinId="0"/>
    <cellStyle name="Normal 10 4" xfId="15" xr:uid="{00000000-0005-0000-0000-00000F000000}"/>
    <cellStyle name="Normal 12" xfId="17" xr:uid="{00000000-0005-0000-0000-000010000000}"/>
    <cellStyle name="Normal 2" xfId="4" xr:uid="{00000000-0005-0000-0000-000011000000}"/>
    <cellStyle name="Normal 2 2" xfId="3" xr:uid="{00000000-0005-0000-0000-000012000000}"/>
    <cellStyle name="Normal 2_Xl0000003_Planilla de cobro aserrindic" xfId="5" xr:uid="{00000000-0005-0000-0000-000013000000}"/>
    <cellStyle name="Normal 3" xfId="8" xr:uid="{00000000-0005-0000-0000-000014000000}"/>
    <cellStyle name="Normal 3 3" xfId="14" xr:uid="{00000000-0005-0000-0000-000015000000}"/>
    <cellStyle name="Normal 4" xfId="2" xr:uid="{00000000-0005-0000-0000-000016000000}"/>
    <cellStyle name="Normal 4 2" xfId="10" xr:uid="{00000000-0005-0000-0000-000017000000}"/>
    <cellStyle name="Normal 5" xfId="18" xr:uid="{00000000-0005-0000-0000-000018000000}"/>
    <cellStyle name="Normal 5 5" xfId="16" xr:uid="{00000000-0005-0000-0000-000019000000}"/>
    <cellStyle name="Porcentaje 2" xfId="7" xr:uid="{00000000-0005-0000-0000-00001A000000}"/>
    <cellStyle name="Porcentual 2 2" xfId="11" xr:uid="{00000000-0005-0000-0000-00001B000000}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6" formatCode="\ mmmm\ \ yyyy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AC6879-8D6D-4A6B-9ECE-DBF7FAD8B8C0}" name="Tabla26" displayName="Tabla26" ref="A1:M34" totalsRowShown="0" headerRowDxfId="12">
  <autoFilter ref="A1:M34" xr:uid="{20AC6879-8D6D-4A6B-9ECE-DBF7FAD8B8C0}">
    <filterColumn colId="0">
      <filters>
        <dateGroupItem year="2026" dateTimeGrouping="year"/>
        <dateGroupItem year="2025" dateTimeGrouping="year"/>
        <dateGroupItem year="2024" dateTimeGrouping="year"/>
      </filters>
    </filterColumn>
  </autoFilter>
  <tableColumns count="13">
    <tableColumn id="1" xr3:uid="{E6807B80-EBCA-4C51-8D9D-5C282861718A}" name="Fecha"/>
    <tableColumn id="10" xr3:uid="{129D5E76-3C21-47B2-A442-E2515D3CA0C6}" name="Toneladas RAD" dataDxfId="11"/>
    <tableColumn id="2" xr3:uid="{C012A70F-E663-4EE6-919A-774363F23064}" name="Disposicion RAD" dataDxfId="10"/>
    <tableColumn id="3" xr3:uid="{97ADE89F-27C5-4841-9F1E-BDCC6BC6AC1F}" name="Traslado RAD" dataDxfId="9"/>
    <tableColumn id="11" xr3:uid="{68EAC7B6-1511-42BD-8240-61EFDC4B0F4D}" name="Toneladas Corteza" dataDxfId="8" dataCellStyle="Moneda [0]"/>
    <tableColumn id="4" xr3:uid="{762692D2-8492-4049-BCC6-E8A9B8AB426A}" name="Disposicion Corteza" dataDxfId="7"/>
    <tableColumn id="5" xr3:uid="{2AE51A8F-9A62-4AB9-9BA4-1F918F1E5B55}" name="Traslado Corteza" dataDxfId="6"/>
    <tableColumn id="12" xr3:uid="{B1AC8229-2E90-4630-BC2C-811644228DA0}" name="Toneladas Escoria" dataDxfId="5" dataCellStyle="Moneda [0]"/>
    <tableColumn id="6" xr3:uid="{AACDE725-EE37-4DE1-826D-51EEA6849CA1}" name="Disposicion Escoria" dataDxfId="4"/>
    <tableColumn id="7" xr3:uid="{274210C2-5886-427D-9B1C-71E7EE773EFE}" name="Traslado Escoria" dataDxfId="3"/>
    <tableColumn id="13" xr3:uid="{C593DBEE-034C-4E73-8AC5-83BC7A7670D5}" name="Toneladas Ceniza" dataDxfId="2" dataCellStyle="Moneda [0]"/>
    <tableColumn id="8" xr3:uid="{ED800920-7640-4167-9660-5608615B99CB}" name="Disposicion Ceniza" dataDxfId="1"/>
    <tableColumn id="9" xr3:uid="{D10F65CC-59EA-494A-9AB1-7081C7A0C4D4}" name="Traslado Ceniz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DD2E-CD4D-4B96-BF1C-E579F5B22750}">
  <dimension ref="A1:R39"/>
  <sheetViews>
    <sheetView tabSelected="1" topLeftCell="C1" zoomScale="85" zoomScaleNormal="85" workbookViewId="0">
      <pane ySplit="1" topLeftCell="A21" activePane="bottomLeft" state="frozen"/>
      <selection pane="bottomLeft" activeCell="N38" sqref="N38"/>
    </sheetView>
  </sheetViews>
  <sheetFormatPr baseColWidth="10" defaultRowHeight="14.5" x14ac:dyDescent="0.35"/>
  <cols>
    <col min="1" max="1" width="15.90625" customWidth="1"/>
    <col min="2" max="2" width="11.26953125" customWidth="1"/>
    <col min="3" max="3" width="14.08984375" customWidth="1"/>
    <col min="4" max="5" width="11.26953125" customWidth="1"/>
    <col min="6" max="6" width="12.6328125" customWidth="1"/>
    <col min="7" max="7" width="13.26953125" customWidth="1"/>
    <col min="8" max="11" width="11.26953125" customWidth="1"/>
    <col min="12" max="12" width="13.81640625" customWidth="1"/>
    <col min="13" max="13" width="15.08984375" customWidth="1"/>
    <col min="15" max="17" width="12.81640625" bestFit="1" customWidth="1"/>
    <col min="18" max="18" width="11.81640625" bestFit="1" customWidth="1"/>
  </cols>
  <sheetData>
    <row r="1" spans="1:17" ht="29" x14ac:dyDescent="0.35">
      <c r="A1" s="1" t="s">
        <v>9</v>
      </c>
      <c r="B1" s="6" t="s">
        <v>10</v>
      </c>
      <c r="C1" s="1" t="s">
        <v>1</v>
      </c>
      <c r="D1" s="1" t="s">
        <v>2</v>
      </c>
      <c r="E1" s="6" t="s">
        <v>11</v>
      </c>
      <c r="F1" s="1" t="s">
        <v>3</v>
      </c>
      <c r="G1" s="1" t="s">
        <v>4</v>
      </c>
      <c r="H1" s="6" t="s">
        <v>12</v>
      </c>
      <c r="I1" s="1" t="s">
        <v>5</v>
      </c>
      <c r="J1" s="1" t="s">
        <v>6</v>
      </c>
      <c r="K1" s="6" t="s">
        <v>13</v>
      </c>
      <c r="L1" s="1" t="s">
        <v>7</v>
      </c>
      <c r="M1" s="1" t="s">
        <v>8</v>
      </c>
      <c r="O1" t="s">
        <v>14</v>
      </c>
      <c r="P1" t="s">
        <v>15</v>
      </c>
    </row>
    <row r="2" spans="1:17" x14ac:dyDescent="0.35">
      <c r="A2" s="3">
        <v>45292</v>
      </c>
      <c r="B2" s="9">
        <v>75.599999999999994</v>
      </c>
      <c r="C2" s="4">
        <v>1360800</v>
      </c>
      <c r="D2" s="4">
        <v>372254.39999999997</v>
      </c>
      <c r="E2" s="11">
        <v>185.3</v>
      </c>
      <c r="F2" s="7">
        <v>0</v>
      </c>
      <c r="G2" s="4">
        <v>2474095.58</v>
      </c>
      <c r="H2" s="11">
        <v>8.9700000000000006</v>
      </c>
      <c r="I2" s="4">
        <v>98848.610640000014</v>
      </c>
      <c r="J2" s="4">
        <v>364137.15</v>
      </c>
      <c r="K2" s="11">
        <v>40.200000000000003</v>
      </c>
      <c r="L2" s="4">
        <v>443000.46240000002</v>
      </c>
      <c r="M2" s="4">
        <v>1761443.4000000001</v>
      </c>
      <c r="O2" s="12">
        <f>+Tabla26[[#This Row],[Disposicion Ceniza]]+Tabla26[[#This Row],[Disposicion Escoria]]+Tabla26[[#This Row],[Disposicion Corteza]]+Tabla26[[#This Row],[Disposicion RAD]]</f>
        <v>1902649.0730400002</v>
      </c>
      <c r="P2" s="12">
        <f>+Tabla26[[#This Row],[Traslado Ceniza]]+Tabla26[[#This Row],[Traslado Escoria]]+Tabla26[[#This Row],[Traslado Corteza]]+Tabla26[[#This Row],[Traslado RAD]]</f>
        <v>4971930.5300000012</v>
      </c>
      <c r="Q2" s="12">
        <f t="shared" ref="Q2" si="0">+P2+O2</f>
        <v>6874579.6030400014</v>
      </c>
    </row>
    <row r="3" spans="1:17" x14ac:dyDescent="0.35">
      <c r="A3" s="3">
        <v>45324</v>
      </c>
      <c r="B3" s="9">
        <v>75.400000000000006</v>
      </c>
      <c r="C3" s="4">
        <v>1206400</v>
      </c>
      <c r="D3" s="4">
        <v>371269.60000000003</v>
      </c>
      <c r="E3" s="11">
        <v>165.7</v>
      </c>
      <c r="F3" s="7">
        <v>0</v>
      </c>
      <c r="G3" s="4">
        <v>2260040.88</v>
      </c>
      <c r="H3" s="11">
        <v>0</v>
      </c>
      <c r="I3" s="7">
        <v>0</v>
      </c>
      <c r="J3" s="7">
        <v>0</v>
      </c>
      <c r="K3" s="11">
        <v>53.2</v>
      </c>
      <c r="L3" s="4">
        <v>588229.74</v>
      </c>
      <c r="M3" s="4">
        <v>2121243.6</v>
      </c>
      <c r="O3" s="12">
        <f>+Tabla26[[#This Row],[Disposicion Ceniza]]+Tabla26[[#This Row],[Disposicion Escoria]]+Tabla26[[#This Row],[Disposicion Corteza]]+Tabla26[[#This Row],[Disposicion RAD]]</f>
        <v>1794629.74</v>
      </c>
      <c r="P3" s="12">
        <f>+Tabla26[[#This Row],[Traslado Ceniza]]+Tabla26[[#This Row],[Traslado Escoria]]+Tabla26[[#This Row],[Traslado Corteza]]+Tabla26[[#This Row],[Traslado RAD]]</f>
        <v>4752554.08</v>
      </c>
      <c r="Q3" s="12">
        <f t="shared" ref="Q3:Q32" si="1">+P3+O3</f>
        <v>6547183.8200000003</v>
      </c>
    </row>
    <row r="4" spans="1:17" x14ac:dyDescent="0.35">
      <c r="A4" s="3">
        <v>45354</v>
      </c>
      <c r="B4" s="9">
        <v>57.6</v>
      </c>
      <c r="C4" s="4">
        <v>921600</v>
      </c>
      <c r="D4" s="4">
        <v>289382.40000000002</v>
      </c>
      <c r="E4" s="11">
        <v>185.9</v>
      </c>
      <c r="F4" s="7">
        <v>0</v>
      </c>
      <c r="G4" s="4">
        <v>2483042.7599999998</v>
      </c>
      <c r="H4" s="11">
        <v>9.69</v>
      </c>
      <c r="I4" s="4">
        <v>107830.86263999998</v>
      </c>
      <c r="J4" s="4">
        <v>393365.55</v>
      </c>
      <c r="K4" s="11">
        <v>70.3</v>
      </c>
      <c r="L4" s="4">
        <v>782302.33679999993</v>
      </c>
      <c r="M4" s="4">
        <v>2638148.1</v>
      </c>
      <c r="O4" s="12">
        <f>+Tabla26[[#This Row],[Disposicion Ceniza]]+Tabla26[[#This Row],[Disposicion Escoria]]+Tabla26[[#This Row],[Disposicion Corteza]]+Tabla26[[#This Row],[Disposicion RAD]]</f>
        <v>1811733.1994399999</v>
      </c>
      <c r="P4" s="12">
        <f>+Tabla26[[#This Row],[Traslado Ceniza]]+Tabla26[[#This Row],[Traslado Escoria]]+Tabla26[[#This Row],[Traslado Corteza]]+Tabla26[[#This Row],[Traslado RAD]]</f>
        <v>5803938.8100000005</v>
      </c>
      <c r="Q4" s="12">
        <f t="shared" si="1"/>
        <v>7615672.0094400002</v>
      </c>
    </row>
    <row r="5" spans="1:17" x14ac:dyDescent="0.35">
      <c r="A5" s="17">
        <v>45386</v>
      </c>
      <c r="B5" s="9">
        <v>111.8</v>
      </c>
      <c r="C5" s="4">
        <v>2012400</v>
      </c>
      <c r="D5" s="4">
        <v>539211.4</v>
      </c>
      <c r="E5" s="11">
        <v>199.2</v>
      </c>
      <c r="F5" s="7">
        <v>0</v>
      </c>
      <c r="G5" s="4">
        <v>2660517.42</v>
      </c>
      <c r="H5" s="11">
        <v>6.59</v>
      </c>
      <c r="I5" s="4">
        <v>73666.934460000004</v>
      </c>
      <c r="J5" s="4">
        <v>297248.53999999998</v>
      </c>
      <c r="K5" s="11">
        <v>67.7</v>
      </c>
      <c r="L5" s="4">
        <v>756790.81380000012</v>
      </c>
      <c r="M5" s="4">
        <v>2699402.1</v>
      </c>
      <c r="O5" s="12">
        <f>+Tabla26[[#This Row],[Disposicion Ceniza]]+Tabla26[[#This Row],[Disposicion Escoria]]+Tabla26[[#This Row],[Disposicion Corteza]]+Tabla26[[#This Row],[Disposicion RAD]]</f>
        <v>2842857.7482600003</v>
      </c>
      <c r="P5" s="12">
        <f>+Tabla26[[#This Row],[Traslado Ceniza]]+Tabla26[[#This Row],[Traslado Escoria]]+Tabla26[[#This Row],[Traslado Corteza]]+Tabla26[[#This Row],[Traslado RAD]]</f>
        <v>6196379.4600000009</v>
      </c>
      <c r="Q5" s="12">
        <f t="shared" si="1"/>
        <v>9039237.2082600016</v>
      </c>
    </row>
    <row r="6" spans="1:17" x14ac:dyDescent="0.35">
      <c r="A6" s="17">
        <v>45417</v>
      </c>
      <c r="B6" s="9">
        <v>133</v>
      </c>
      <c r="C6" s="4">
        <v>2394000</v>
      </c>
      <c r="D6" s="4">
        <v>641459</v>
      </c>
      <c r="E6" s="11">
        <v>253.6</v>
      </c>
      <c r="F6" s="7">
        <v>0</v>
      </c>
      <c r="G6" s="4">
        <v>3350320.2</v>
      </c>
      <c r="H6" s="11">
        <v>0</v>
      </c>
      <c r="I6" s="7">
        <v>0</v>
      </c>
      <c r="J6" s="7">
        <v>0</v>
      </c>
      <c r="K6" s="11">
        <v>58.9</v>
      </c>
      <c r="L6" s="4">
        <v>658419.18660000002</v>
      </c>
      <c r="M6" s="4">
        <v>2348519.6999999997</v>
      </c>
      <c r="O6" s="12">
        <f>+Tabla26[[#This Row],[Disposicion Ceniza]]+Tabla26[[#This Row],[Disposicion Escoria]]+Tabla26[[#This Row],[Disposicion Corteza]]+Tabla26[[#This Row],[Disposicion RAD]]</f>
        <v>3052419.1866000001</v>
      </c>
      <c r="P6" s="12">
        <f>+Tabla26[[#This Row],[Traslado Ceniza]]+Tabla26[[#This Row],[Traslado Escoria]]+Tabla26[[#This Row],[Traslado Corteza]]+Tabla26[[#This Row],[Traslado RAD]]</f>
        <v>6340298.9000000004</v>
      </c>
      <c r="Q6" s="12">
        <f t="shared" si="1"/>
        <v>9392718.0866</v>
      </c>
    </row>
    <row r="7" spans="1:17" x14ac:dyDescent="0.35">
      <c r="A7" s="17">
        <v>45449</v>
      </c>
      <c r="B7" s="9">
        <v>89.7</v>
      </c>
      <c r="C7" s="4">
        <v>1614600</v>
      </c>
      <c r="D7" s="4">
        <v>441682.8</v>
      </c>
      <c r="E7" s="11">
        <v>333.4</v>
      </c>
      <c r="F7" s="7">
        <v>0</v>
      </c>
      <c r="G7" s="4">
        <v>4404742.4000000004</v>
      </c>
      <c r="H7" s="11">
        <v>8.09</v>
      </c>
      <c r="I7" s="4">
        <v>91186.904219999997</v>
      </c>
      <c r="J7" s="4">
        <v>328413.55</v>
      </c>
      <c r="K7" s="11">
        <v>89.8</v>
      </c>
      <c r="L7" s="4">
        <v>1012185.9083999998</v>
      </c>
      <c r="M7" s="4">
        <v>3369924.6</v>
      </c>
      <c r="O7" s="12">
        <f>+Tabla26[[#This Row],[Disposicion Ceniza]]+Tabla26[[#This Row],[Disposicion Escoria]]+Tabla26[[#This Row],[Disposicion Corteza]]+Tabla26[[#This Row],[Disposicion RAD]]</f>
        <v>2717972.81262</v>
      </c>
      <c r="P7" s="12">
        <f>+Tabla26[[#This Row],[Traslado Ceniza]]+Tabla26[[#This Row],[Traslado Escoria]]+Tabla26[[#This Row],[Traslado Corteza]]+Tabla26[[#This Row],[Traslado RAD]]</f>
        <v>8544763.3500000015</v>
      </c>
      <c r="Q7" s="12">
        <f t="shared" si="1"/>
        <v>11262736.162620001</v>
      </c>
    </row>
    <row r="8" spans="1:17" x14ac:dyDescent="0.35">
      <c r="A8" s="17">
        <v>45480</v>
      </c>
      <c r="B8" s="9">
        <v>70.8</v>
      </c>
      <c r="C8" s="4">
        <v>1274400</v>
      </c>
      <c r="D8" s="4">
        <v>348619.2</v>
      </c>
      <c r="E8" s="11">
        <v>248.03</v>
      </c>
      <c r="F8" s="7">
        <v>0</v>
      </c>
      <c r="G8" s="4">
        <v>3312192.62</v>
      </c>
      <c r="H8" s="11">
        <v>24.73</v>
      </c>
      <c r="I8" s="4">
        <v>278798.23005000001</v>
      </c>
      <c r="J8" s="4">
        <v>1003914.35</v>
      </c>
      <c r="K8" s="11">
        <v>118.6</v>
      </c>
      <c r="L8" s="4">
        <v>1337059.041</v>
      </c>
      <c r="M8" s="4">
        <v>4450702.2</v>
      </c>
      <c r="O8" s="12">
        <f>+Tabla26[[#This Row],[Disposicion Ceniza]]+Tabla26[[#This Row],[Disposicion Escoria]]+Tabla26[[#This Row],[Disposicion Corteza]]+Tabla26[[#This Row],[Disposicion RAD]]</f>
        <v>2890257.2710500001</v>
      </c>
      <c r="P8" s="12">
        <f>+Tabla26[[#This Row],[Traslado Ceniza]]+Tabla26[[#This Row],[Traslado Escoria]]+Tabla26[[#This Row],[Traslado Corteza]]+Tabla26[[#This Row],[Traslado RAD]]</f>
        <v>9115428.3699999992</v>
      </c>
      <c r="Q8" s="12">
        <f t="shared" si="1"/>
        <v>12005685.64105</v>
      </c>
    </row>
    <row r="9" spans="1:17" x14ac:dyDescent="0.35">
      <c r="A9" s="17">
        <v>45512</v>
      </c>
      <c r="B9" s="9">
        <v>57.2</v>
      </c>
      <c r="C9" s="4">
        <v>1029600</v>
      </c>
      <c r="D9" s="4">
        <v>294008</v>
      </c>
      <c r="E9" s="11">
        <v>234.02</v>
      </c>
      <c r="F9" s="7">
        <v>0</v>
      </c>
      <c r="G9" s="4">
        <v>3197181.24</v>
      </c>
      <c r="H9" s="11">
        <v>14.84</v>
      </c>
      <c r="I9" s="4">
        <v>168082.90044</v>
      </c>
      <c r="J9" s="4">
        <v>905907.8</v>
      </c>
      <c r="K9" s="11">
        <v>57.2</v>
      </c>
      <c r="L9" s="4">
        <v>647866.70520000008</v>
      </c>
      <c r="M9" s="4">
        <v>3319144.4000000004</v>
      </c>
      <c r="O9" s="12">
        <f>+Tabla26[[#This Row],[Disposicion Ceniza]]+Tabla26[[#This Row],[Disposicion Escoria]]+Tabla26[[#This Row],[Disposicion Corteza]]+Tabla26[[#This Row],[Disposicion RAD]]</f>
        <v>1845549.6056400002</v>
      </c>
      <c r="P9" s="12">
        <f>+Tabla26[[#This Row],[Traslado Ceniza]]+Tabla26[[#This Row],[Traslado Escoria]]+Tabla26[[#This Row],[Traslado Corteza]]+Tabla26[[#This Row],[Traslado RAD]]</f>
        <v>7716241.4400000004</v>
      </c>
      <c r="Q9" s="12">
        <f t="shared" si="1"/>
        <v>9561791.0456400011</v>
      </c>
    </row>
    <row r="10" spans="1:17" x14ac:dyDescent="0.35">
      <c r="A10" s="17">
        <v>45544</v>
      </c>
      <c r="B10" s="9">
        <v>75.099999999999994</v>
      </c>
      <c r="C10" s="4">
        <v>1351800</v>
      </c>
      <c r="D10" s="4">
        <v>378278.69999999995</v>
      </c>
      <c r="E10" s="11">
        <v>111.6</v>
      </c>
      <c r="F10" s="4">
        <v>572864</v>
      </c>
      <c r="G10" s="4">
        <v>1755578.2</v>
      </c>
      <c r="H10" s="11">
        <v>7.75</v>
      </c>
      <c r="I10" s="4">
        <v>88142</v>
      </c>
      <c r="J10" s="4">
        <v>399116</v>
      </c>
      <c r="K10" s="11">
        <v>53.22</v>
      </c>
      <c r="L10" s="4">
        <v>605278</v>
      </c>
      <c r="M10" s="4">
        <v>2007614</v>
      </c>
      <c r="O10" s="12">
        <f>+Tabla26[[#This Row],[Disposicion Ceniza]]+Tabla26[[#This Row],[Disposicion Escoria]]+Tabla26[[#This Row],[Disposicion Corteza]]+Tabla26[[#This Row],[Disposicion RAD]]</f>
        <v>2618084</v>
      </c>
      <c r="P10" s="12">
        <f>+Tabla26[[#This Row],[Traslado Ceniza]]+Tabla26[[#This Row],[Traslado Escoria]]+Tabla26[[#This Row],[Traslado Corteza]]+Tabla26[[#This Row],[Traslado RAD]]</f>
        <v>4540586.9000000004</v>
      </c>
      <c r="Q10" s="12">
        <f t="shared" si="1"/>
        <v>7158670.9000000004</v>
      </c>
    </row>
    <row r="11" spans="1:17" x14ac:dyDescent="0.35">
      <c r="A11" s="17">
        <v>45575</v>
      </c>
      <c r="B11" s="9">
        <v>89.7</v>
      </c>
      <c r="C11" s="4">
        <v>1614600</v>
      </c>
      <c r="D11" s="4">
        <v>459891.9</v>
      </c>
      <c r="E11" s="11">
        <v>113.5</v>
      </c>
      <c r="F11" s="4">
        <v>1744495</v>
      </c>
      <c r="G11" s="4">
        <v>1965253</v>
      </c>
      <c r="H11" s="11">
        <v>10.75</v>
      </c>
      <c r="I11" s="4">
        <v>165227.5</v>
      </c>
      <c r="J11" s="4">
        <v>188651.75</v>
      </c>
      <c r="K11" s="11">
        <v>72.98</v>
      </c>
      <c r="L11" s="4">
        <v>1121702.6000000001</v>
      </c>
      <c r="M11" s="4">
        <v>1696055.2000000002</v>
      </c>
      <c r="O11" s="12">
        <f>+Tabla26[[#This Row],[Disposicion Ceniza]]+Tabla26[[#This Row],[Disposicion Escoria]]+Tabla26[[#This Row],[Disposicion Corteza]]+Tabla26[[#This Row],[Disposicion RAD]]</f>
        <v>4646025.0999999996</v>
      </c>
      <c r="P11" s="12">
        <f>+Tabla26[[#This Row],[Traslado Ceniza]]+Tabla26[[#This Row],[Traslado Escoria]]+Tabla26[[#This Row],[Traslado Corteza]]+Tabla26[[#This Row],[Traslado RAD]]</f>
        <v>4309851.8500000006</v>
      </c>
      <c r="Q11" s="12">
        <f t="shared" si="1"/>
        <v>8955876.9499999993</v>
      </c>
    </row>
    <row r="12" spans="1:17" x14ac:dyDescent="0.35">
      <c r="A12" s="17">
        <v>45607</v>
      </c>
      <c r="B12" s="9">
        <v>52.6</v>
      </c>
      <c r="C12" s="4">
        <v>946800</v>
      </c>
      <c r="D12" s="4">
        <v>275203.20000000001</v>
      </c>
      <c r="E12" s="11">
        <v>173.8</v>
      </c>
      <c r="F12" s="4">
        <v>2671306</v>
      </c>
      <c r="G12" s="4">
        <v>2949212</v>
      </c>
      <c r="H12" s="11">
        <v>7.4</v>
      </c>
      <c r="I12" s="4">
        <v>113738</v>
      </c>
      <c r="J12" s="4">
        <v>129862.6</v>
      </c>
      <c r="K12" s="11">
        <v>64.94</v>
      </c>
      <c r="L12" s="4">
        <v>998127.79999999993</v>
      </c>
      <c r="M12" s="4">
        <v>1540052.0999999999</v>
      </c>
      <c r="O12" s="12">
        <f>+Tabla26[[#This Row],[Disposicion Ceniza]]+Tabla26[[#This Row],[Disposicion Escoria]]+Tabla26[[#This Row],[Disposicion Corteza]]+Tabla26[[#This Row],[Disposicion RAD]]</f>
        <v>4729971.8</v>
      </c>
      <c r="P12" s="12">
        <f>+Tabla26[[#This Row],[Traslado Ceniza]]+Tabla26[[#This Row],[Traslado Escoria]]+Tabla26[[#This Row],[Traslado Corteza]]+Tabla26[[#This Row],[Traslado RAD]]</f>
        <v>4894329.9000000004</v>
      </c>
      <c r="Q12" s="12">
        <f t="shared" si="1"/>
        <v>9624301.6999999993</v>
      </c>
    </row>
    <row r="13" spans="1:17" x14ac:dyDescent="0.35">
      <c r="A13" s="17">
        <v>45638</v>
      </c>
      <c r="B13" s="9">
        <v>70.77</v>
      </c>
      <c r="C13" s="4">
        <v>1273860</v>
      </c>
      <c r="D13" s="4">
        <v>362837.79</v>
      </c>
      <c r="E13" s="11">
        <v>184.28</v>
      </c>
      <c r="F13" s="4">
        <v>2832384</v>
      </c>
      <c r="G13" s="4">
        <v>3095167</v>
      </c>
      <c r="H13" s="11">
        <v>13.45</v>
      </c>
      <c r="I13" s="4">
        <v>206726.5</v>
      </c>
      <c r="J13" s="4">
        <v>236034.05</v>
      </c>
      <c r="K13" s="11">
        <v>69.25</v>
      </c>
      <c r="L13" s="4">
        <v>1064372.5</v>
      </c>
      <c r="M13" s="4">
        <v>1642263.75</v>
      </c>
      <c r="O13" s="12">
        <f>+Tabla26[[#This Row],[Disposicion Ceniza]]+Tabla26[[#This Row],[Disposicion Escoria]]+Tabla26[[#This Row],[Disposicion Corteza]]+Tabla26[[#This Row],[Disposicion RAD]]</f>
        <v>5377343</v>
      </c>
      <c r="P13" s="12">
        <f>+Tabla26[[#This Row],[Traslado Ceniza]]+Tabla26[[#This Row],[Traslado Escoria]]+Tabla26[[#This Row],[Traslado Corteza]]+Tabla26[[#This Row],[Traslado RAD]]</f>
        <v>5336302.59</v>
      </c>
      <c r="Q13" s="12">
        <f t="shared" si="1"/>
        <v>10713645.59</v>
      </c>
    </row>
    <row r="14" spans="1:17" x14ac:dyDescent="0.35">
      <c r="A14" s="17">
        <v>45658</v>
      </c>
      <c r="B14" s="5">
        <v>72.63</v>
      </c>
      <c r="C14" s="8">
        <v>1452600</v>
      </c>
      <c r="D14" s="8">
        <v>372374.00999999995</v>
      </c>
      <c r="E14" s="5">
        <v>160.76</v>
      </c>
      <c r="F14" s="8">
        <v>2470881</v>
      </c>
      <c r="G14" s="8">
        <v>2727936</v>
      </c>
      <c r="H14" s="5">
        <v>14.85</v>
      </c>
      <c r="I14" s="8">
        <v>228244.5</v>
      </c>
      <c r="J14" s="8">
        <v>260602.65</v>
      </c>
      <c r="K14" s="16">
        <v>74.61</v>
      </c>
      <c r="L14" s="8">
        <v>1146755.7</v>
      </c>
      <c r="M14" s="8">
        <v>1733936.4</v>
      </c>
      <c r="O14" s="12">
        <f>+Tabla26[[#This Row],[Disposicion Ceniza]]+Tabla26[[#This Row],[Disposicion Escoria]]+Tabla26[[#This Row],[Disposicion Corteza]]+Tabla26[[#This Row],[Disposicion RAD]]</f>
        <v>5298481.2</v>
      </c>
      <c r="P14" s="12">
        <f>+Tabla26[[#This Row],[Traslado Ceniza]]+Tabla26[[#This Row],[Traslado Escoria]]+Tabla26[[#This Row],[Traslado Corteza]]+Tabla26[[#This Row],[Traslado RAD]]</f>
        <v>5094849.0599999996</v>
      </c>
      <c r="Q14" s="12">
        <f>+P14+O14</f>
        <v>10393330.26</v>
      </c>
    </row>
    <row r="15" spans="1:17" x14ac:dyDescent="0.35">
      <c r="A15" s="17">
        <v>45690</v>
      </c>
      <c r="B15" s="5">
        <v>13.93</v>
      </c>
      <c r="C15" s="8">
        <v>278600</v>
      </c>
      <c r="D15" s="8">
        <v>72881.759999999995</v>
      </c>
      <c r="E15" s="5">
        <v>201.05</v>
      </c>
      <c r="F15" s="8">
        <v>3090139</v>
      </c>
      <c r="G15" s="8">
        <v>3376836</v>
      </c>
      <c r="H15" s="5">
        <v>0</v>
      </c>
      <c r="I15" s="7">
        <v>0</v>
      </c>
      <c r="J15" s="7">
        <v>0</v>
      </c>
      <c r="K15" s="16">
        <v>73.86</v>
      </c>
      <c r="L15" s="8">
        <v>1135228.2</v>
      </c>
      <c r="M15" s="8">
        <v>1716506.4</v>
      </c>
      <c r="O15" s="12">
        <f>+Tabla26[[#This Row],[Disposicion Ceniza]]+Tabla26[[#This Row],[Disposicion Escoria]]+Tabla26[[#This Row],[Disposicion Corteza]]+Tabla26[[#This Row],[Disposicion RAD]]</f>
        <v>4503967.2</v>
      </c>
      <c r="P15" s="12">
        <f>+Tabla26[[#This Row],[Traslado Ceniza]]+Tabla26[[#This Row],[Traslado Escoria]]+Tabla26[[#This Row],[Traslado Corteza]]+Tabla26[[#This Row],[Traslado RAD]]</f>
        <v>5166224.16</v>
      </c>
      <c r="Q15" s="12">
        <f t="shared" si="1"/>
        <v>9670191.3599999994</v>
      </c>
    </row>
    <row r="16" spans="1:17" x14ac:dyDescent="0.35">
      <c r="A16" s="17">
        <v>45719</v>
      </c>
      <c r="B16" s="5">
        <v>55.1</v>
      </c>
      <c r="C16" s="8">
        <v>1102000</v>
      </c>
      <c r="D16" s="8">
        <v>288283.2</v>
      </c>
      <c r="E16" s="5">
        <v>211.33</v>
      </c>
      <c r="F16" s="8">
        <v>3248142</v>
      </c>
      <c r="G16" s="8">
        <v>3549499</v>
      </c>
      <c r="H16" s="5">
        <v>0</v>
      </c>
      <c r="I16" s="7">
        <v>0</v>
      </c>
      <c r="J16" s="7">
        <v>0</v>
      </c>
      <c r="K16" s="16">
        <v>65.95</v>
      </c>
      <c r="L16" s="8">
        <v>1013651.5</v>
      </c>
      <c r="M16" s="8">
        <v>1564004.25</v>
      </c>
      <c r="O16" s="12">
        <f>+Tabla26[[#This Row],[Disposicion Ceniza]]+Tabla26[[#This Row],[Disposicion Escoria]]+Tabla26[[#This Row],[Disposicion Corteza]]+Tabla26[[#This Row],[Disposicion RAD]]</f>
        <v>5363793.5</v>
      </c>
      <c r="P16" s="12">
        <f>+Tabla26[[#This Row],[Traslado Ceniza]]+Tabla26[[#This Row],[Traslado Escoria]]+Tabla26[[#This Row],[Traslado Corteza]]+Tabla26[[#This Row],[Traslado RAD]]</f>
        <v>5401786.4500000002</v>
      </c>
      <c r="Q16" s="12">
        <f t="shared" si="1"/>
        <v>10765579.949999999</v>
      </c>
    </row>
    <row r="17" spans="1:18" x14ac:dyDescent="0.35">
      <c r="A17" s="17">
        <v>45751</v>
      </c>
      <c r="B17" s="5">
        <v>79.790000000000006</v>
      </c>
      <c r="C17" s="8">
        <v>1595800.0000000002</v>
      </c>
      <c r="D17" s="8">
        <v>421450.78</v>
      </c>
      <c r="E17" s="5">
        <v>209.46</v>
      </c>
      <c r="F17" s="8">
        <v>3310852</v>
      </c>
      <c r="G17" s="8">
        <v>3727239</v>
      </c>
      <c r="H17" s="5">
        <v>7.79</v>
      </c>
      <c r="I17" s="8">
        <v>119732.3</v>
      </c>
      <c r="J17" s="8">
        <v>140835.41</v>
      </c>
      <c r="K17" s="16">
        <v>77.05</v>
      </c>
      <c r="L17" s="8">
        <v>1184258.5</v>
      </c>
      <c r="M17" s="8">
        <v>1844731.0999999999</v>
      </c>
      <c r="O17" s="12">
        <f>+Tabla26[[#This Row],[Disposicion Ceniza]]+Tabla26[[#This Row],[Disposicion Escoria]]+Tabla26[[#This Row],[Disposicion Corteza]]+Tabla26[[#This Row],[Disposicion RAD]]</f>
        <v>6210642.7999999998</v>
      </c>
      <c r="P17" s="12">
        <f>+Tabla26[[#This Row],[Traslado Ceniza]]+Tabla26[[#This Row],[Traslado Escoria]]+Tabla26[[#This Row],[Traslado Corteza]]+Tabla26[[#This Row],[Traslado RAD]]</f>
        <v>6134256.29</v>
      </c>
      <c r="Q17" s="12">
        <f t="shared" si="1"/>
        <v>12344899.09</v>
      </c>
    </row>
    <row r="18" spans="1:18" x14ac:dyDescent="0.35">
      <c r="A18" s="17">
        <v>45782</v>
      </c>
      <c r="B18" s="5">
        <v>77.819999999999993</v>
      </c>
      <c r="C18" s="8">
        <v>1556399.9999999998</v>
      </c>
      <c r="D18" s="8">
        <v>411045.24</v>
      </c>
      <c r="E18" s="5">
        <v>211.52</v>
      </c>
      <c r="F18" s="8">
        <v>3251062</v>
      </c>
      <c r="G18" s="8">
        <v>3659931</v>
      </c>
      <c r="H18" s="5">
        <v>0</v>
      </c>
      <c r="I18" s="7">
        <v>0</v>
      </c>
      <c r="J18" s="7">
        <v>0</v>
      </c>
      <c r="K18" s="16">
        <v>67.239999999999995</v>
      </c>
      <c r="L18" s="8">
        <v>1033478.7999999999</v>
      </c>
      <c r="M18" s="8">
        <v>1642740.44</v>
      </c>
      <c r="O18" s="12">
        <f>+Tabla26[[#This Row],[Disposicion Ceniza]]+Tabla26[[#This Row],[Disposicion Escoria]]+Tabla26[[#This Row],[Disposicion Corteza]]+Tabla26[[#This Row],[Disposicion RAD]]</f>
        <v>5840940.7999999998</v>
      </c>
      <c r="P18" s="12">
        <f>+Tabla26[[#This Row],[Traslado Ceniza]]+Tabla26[[#This Row],[Traslado Escoria]]+Tabla26[[#This Row],[Traslado Corteza]]+Tabla26[[#This Row],[Traslado RAD]]</f>
        <v>5713716.6799999997</v>
      </c>
      <c r="Q18" s="12">
        <f t="shared" si="1"/>
        <v>11554657.48</v>
      </c>
    </row>
    <row r="19" spans="1:18" x14ac:dyDescent="0.35">
      <c r="A19" s="17">
        <v>45814</v>
      </c>
      <c r="B19" s="5">
        <v>136.69999999999999</v>
      </c>
      <c r="C19" s="8">
        <v>2734000</v>
      </c>
      <c r="D19" s="8">
        <v>707422.49999999988</v>
      </c>
      <c r="E19" s="5">
        <v>183.68</v>
      </c>
      <c r="F19" s="8">
        <v>2823162</v>
      </c>
      <c r="G19" s="8">
        <v>3178215</v>
      </c>
      <c r="H19" s="5">
        <v>25.64</v>
      </c>
      <c r="I19" s="8">
        <v>394086.8</v>
      </c>
      <c r="J19" s="8">
        <v>463545.56</v>
      </c>
      <c r="K19" s="16">
        <v>80.69</v>
      </c>
      <c r="L19" s="8">
        <v>1240205.3</v>
      </c>
      <c r="M19" s="8">
        <v>1931879.98</v>
      </c>
      <c r="O19" s="12">
        <f>+Tabla26[[#This Row],[Disposicion Ceniza]]+Tabla26[[#This Row],[Disposicion Escoria]]+Tabla26[[#This Row],[Disposicion Corteza]]+Tabla26[[#This Row],[Disposicion RAD]]</f>
        <v>7191454.0999999996</v>
      </c>
      <c r="P19" s="12">
        <f>+Tabla26[[#This Row],[Traslado Ceniza]]+Tabla26[[#This Row],[Traslado Escoria]]+Tabla26[[#This Row],[Traslado Corteza]]+Tabla26[[#This Row],[Traslado RAD]]</f>
        <v>6281063.04</v>
      </c>
      <c r="Q19" s="12">
        <f t="shared" si="1"/>
        <v>13472517.140000001</v>
      </c>
    </row>
    <row r="20" spans="1:18" x14ac:dyDescent="0.35">
      <c r="A20" s="17">
        <v>45845</v>
      </c>
      <c r="B20" s="5">
        <v>58.32</v>
      </c>
      <c r="C20" s="8">
        <v>1166400</v>
      </c>
      <c r="D20" s="8">
        <v>314344.8</v>
      </c>
      <c r="E20" s="5">
        <v>276.49</v>
      </c>
      <c r="F20" s="8">
        <v>4249651</v>
      </c>
      <c r="G20" s="8">
        <v>4734891</v>
      </c>
      <c r="H20" s="5">
        <v>0</v>
      </c>
      <c r="I20" s="7">
        <v>0</v>
      </c>
      <c r="J20" s="7">
        <v>0</v>
      </c>
      <c r="K20" s="16">
        <v>108.49</v>
      </c>
      <c r="L20" s="8">
        <v>1667491.2999999998</v>
      </c>
      <c r="M20" s="8">
        <v>2597467.58</v>
      </c>
      <c r="O20" s="12">
        <f>+Tabla26[[#This Row],[Disposicion Ceniza]]+Tabla26[[#This Row],[Disposicion Escoria]]+Tabla26[[#This Row],[Disposicion Corteza]]+Tabla26[[#This Row],[Disposicion RAD]]</f>
        <v>7083542.2999999998</v>
      </c>
      <c r="P20" s="12">
        <f>+Tabla26[[#This Row],[Traslado Ceniza]]+Tabla26[[#This Row],[Traslado Escoria]]+Tabla26[[#This Row],[Traslado Corteza]]+Tabla26[[#This Row],[Traslado RAD]]</f>
        <v>7646703.3799999999</v>
      </c>
      <c r="Q20" s="12">
        <f t="shared" si="1"/>
        <v>14730245.68</v>
      </c>
    </row>
    <row r="21" spans="1:18" x14ac:dyDescent="0.35">
      <c r="A21" s="17">
        <v>45877</v>
      </c>
      <c r="B21" s="5">
        <v>26.41</v>
      </c>
      <c r="C21" s="8">
        <v>528200</v>
      </c>
      <c r="D21" s="8">
        <v>142349.9</v>
      </c>
      <c r="E21" s="5">
        <v>275.64</v>
      </c>
      <c r="F21" s="8">
        <v>3629492</v>
      </c>
      <c r="G21" s="8">
        <v>4690442</v>
      </c>
      <c r="H21" s="5">
        <v>6.92</v>
      </c>
      <c r="I21" s="8">
        <v>107315.36</v>
      </c>
      <c r="J21" s="8">
        <v>125106.68</v>
      </c>
      <c r="K21" s="16">
        <v>76.44</v>
      </c>
      <c r="L21" s="8">
        <v>1185431.52</v>
      </c>
      <c r="M21" s="8">
        <v>1830126.48</v>
      </c>
      <c r="O21" s="12">
        <f>+Tabla26[[#This Row],[Disposicion Ceniza]]+Tabla26[[#This Row],[Disposicion Escoria]]+Tabla26[[#This Row],[Disposicion Corteza]]+Tabla26[[#This Row],[Disposicion RAD]]</f>
        <v>5450438.8799999999</v>
      </c>
      <c r="P21" s="12">
        <f>+Tabla26[[#This Row],[Traslado Ceniza]]+Tabla26[[#This Row],[Traslado Escoria]]+Tabla26[[#This Row],[Traslado Corteza]]+Tabla26[[#This Row],[Traslado RAD]]</f>
        <v>6788025.0600000005</v>
      </c>
      <c r="Q21" s="12">
        <f t="shared" si="1"/>
        <v>12238463.940000001</v>
      </c>
    </row>
    <row r="22" spans="1:18" x14ac:dyDescent="0.35">
      <c r="A22" s="17">
        <v>45909</v>
      </c>
      <c r="B22" s="5">
        <v>16.2</v>
      </c>
      <c r="C22" s="8">
        <v>324000</v>
      </c>
      <c r="D22" s="8">
        <v>87318</v>
      </c>
      <c r="E22" s="5">
        <v>239</v>
      </c>
      <c r="F22" s="8">
        <v>2620232</v>
      </c>
      <c r="G22" s="8">
        <v>4032556</v>
      </c>
      <c r="H22" s="5">
        <v>15.61</v>
      </c>
      <c r="I22" s="8">
        <v>242079.88</v>
      </c>
      <c r="J22" s="8">
        <v>282213.19</v>
      </c>
      <c r="K22" s="16">
        <v>111.64</v>
      </c>
      <c r="L22" s="8">
        <v>1731313.12</v>
      </c>
      <c r="M22" s="8">
        <v>2672884.88</v>
      </c>
      <c r="O22" s="12">
        <f>+Tabla26[[#This Row],[Disposicion Ceniza]]+Tabla26[[#This Row],[Disposicion Escoria]]+Tabla26[[#This Row],[Disposicion Corteza]]+Tabla26[[#This Row],[Disposicion RAD]]</f>
        <v>4917625</v>
      </c>
      <c r="P22" s="12">
        <f>+Tabla26[[#This Row],[Traslado Ceniza]]+Tabla26[[#This Row],[Traslado Escoria]]+Tabla26[[#This Row],[Traslado Corteza]]+Tabla26[[#This Row],[Traslado RAD]]</f>
        <v>7074972.0700000003</v>
      </c>
      <c r="Q22" s="12">
        <f t="shared" si="1"/>
        <v>11992597.07</v>
      </c>
      <c r="R22" s="18"/>
    </row>
    <row r="23" spans="1:18" x14ac:dyDescent="0.35">
      <c r="A23" s="17">
        <v>45940</v>
      </c>
      <c r="B23" s="5">
        <v>26.56</v>
      </c>
      <c r="C23" s="8">
        <v>531200</v>
      </c>
      <c r="D23" s="8">
        <v>145070.72</v>
      </c>
      <c r="E23" s="5">
        <v>260.62</v>
      </c>
      <c r="F23" s="8">
        <v>3296846</v>
      </c>
      <c r="G23" s="8">
        <v>4477562</v>
      </c>
      <c r="H23" s="5">
        <v>10.64</v>
      </c>
      <c r="I23" s="8">
        <v>165005.12</v>
      </c>
      <c r="J23" s="8">
        <v>194935.44</v>
      </c>
      <c r="K23" s="16">
        <v>92.63</v>
      </c>
      <c r="L23" s="8">
        <v>1436506.04</v>
      </c>
      <c r="M23" s="8">
        <v>2247481.69</v>
      </c>
      <c r="O23" s="12">
        <f>+Tabla26[[#This Row],[Disposicion Ceniza]]+Tabla26[[#This Row],[Disposicion Escoria]]+Tabla26[[#This Row],[Disposicion Corteza]]+Tabla26[[#This Row],[Disposicion RAD]]</f>
        <v>5429557.1600000001</v>
      </c>
      <c r="P23" s="12">
        <f>+Tabla26[[#This Row],[Traslado Ceniza]]+Tabla26[[#This Row],[Traslado Escoria]]+Tabla26[[#This Row],[Traslado Corteza]]+Tabla26[[#This Row],[Traslado RAD]]</f>
        <v>7065049.8499999996</v>
      </c>
      <c r="Q23" s="12">
        <f t="shared" si="1"/>
        <v>12494607.01</v>
      </c>
    </row>
    <row r="24" spans="1:18" x14ac:dyDescent="0.35">
      <c r="A24" s="17">
        <v>45972</v>
      </c>
      <c r="B24" s="5">
        <v>30.79</v>
      </c>
      <c r="C24" s="8">
        <v>615800</v>
      </c>
      <c r="D24" s="8">
        <v>168174.97999999998</v>
      </c>
      <c r="E24" s="5">
        <v>201.95</v>
      </c>
      <c r="F24" s="8">
        <v>3131841</v>
      </c>
      <c r="G24" s="8">
        <v>3541193</v>
      </c>
      <c r="H24" s="5">
        <v>12.83</v>
      </c>
      <c r="I24" s="8">
        <v>198967.64</v>
      </c>
      <c r="J24" s="8">
        <v>235058.43</v>
      </c>
      <c r="K24" s="16">
        <v>88.66</v>
      </c>
      <c r="L24" s="8">
        <v>1374939.28</v>
      </c>
      <c r="M24" s="8">
        <v>2151157.58</v>
      </c>
      <c r="O24" s="12">
        <f>+Tabla26[[#This Row],[Disposicion Ceniza]]+Tabla26[[#This Row],[Disposicion Escoria]]+Tabla26[[#This Row],[Disposicion Corteza]]+Tabla26[[#This Row],[Disposicion RAD]]</f>
        <v>5321547.92</v>
      </c>
      <c r="P24" s="12">
        <f>+Tabla26[[#This Row],[Traslado Ceniza]]+Tabla26[[#This Row],[Traslado Escoria]]+Tabla26[[#This Row],[Traslado Corteza]]+Tabla26[[#This Row],[Traslado RAD]]</f>
        <v>6095583.9900000002</v>
      </c>
      <c r="Q24" s="12">
        <f t="shared" si="1"/>
        <v>11417131.91</v>
      </c>
    </row>
    <row r="25" spans="1:18" x14ac:dyDescent="0.35">
      <c r="A25" s="17">
        <v>46003</v>
      </c>
      <c r="B25" s="5">
        <v>15.82</v>
      </c>
      <c r="C25" s="8">
        <v>316400</v>
      </c>
      <c r="D25" s="8">
        <v>86408.84</v>
      </c>
      <c r="E25" s="5">
        <v>187.56</v>
      </c>
      <c r="F25" s="8">
        <v>2908680</v>
      </c>
      <c r="G25" s="8">
        <v>3288865</v>
      </c>
      <c r="H25" s="5">
        <v>0</v>
      </c>
      <c r="I25" s="7">
        <v>0</v>
      </c>
      <c r="J25" s="7">
        <v>0</v>
      </c>
      <c r="K25" s="16">
        <v>75.510000000000005</v>
      </c>
      <c r="L25" s="8">
        <v>1171009</v>
      </c>
      <c r="M25" s="8">
        <v>1832099.1300000001</v>
      </c>
      <c r="O25" s="12">
        <f>+Tabla26[[#This Row],[Disposicion Ceniza]]+Tabla26[[#This Row],[Disposicion Escoria]]+Tabla26[[#This Row],[Disposicion Corteza]]+Tabla26[[#This Row],[Disposicion RAD]]</f>
        <v>4396089</v>
      </c>
      <c r="P25" s="12">
        <f>+Tabla26[[#This Row],[Traslado Ceniza]]+Tabla26[[#This Row],[Traslado Escoria]]+Tabla26[[#This Row],[Traslado Corteza]]+Tabla26[[#This Row],[Traslado RAD]]</f>
        <v>5207372.97</v>
      </c>
      <c r="Q25" s="12">
        <f t="shared" si="1"/>
        <v>9603461.9699999988</v>
      </c>
    </row>
    <row r="26" spans="1:18" x14ac:dyDescent="0.35">
      <c r="A26" s="17">
        <v>46023</v>
      </c>
      <c r="B26" s="13">
        <v>8.5299999999999994</v>
      </c>
      <c r="C26" s="8">
        <v>170600</v>
      </c>
      <c r="D26" s="8">
        <v>46590.859999999993</v>
      </c>
      <c r="E26" s="14">
        <v>158.06</v>
      </c>
      <c r="F26" s="8">
        <v>2451194</v>
      </c>
      <c r="G26" s="8">
        <v>2800033</v>
      </c>
      <c r="H26" s="10">
        <v>0</v>
      </c>
      <c r="I26" s="7">
        <v>0</v>
      </c>
      <c r="J26" s="7">
        <v>0</v>
      </c>
      <c r="K26" s="11">
        <v>47.67</v>
      </c>
      <c r="L26" s="8">
        <v>739266.36</v>
      </c>
      <c r="M26" s="8">
        <v>1216681</v>
      </c>
      <c r="O26" s="12">
        <f>+Tabla26[[#This Row],[Disposicion Ceniza]]+Tabla26[[#This Row],[Disposicion Escoria]]+Tabla26[[#This Row],[Disposicion Corteza]]+Tabla26[[#This Row],[Disposicion RAD]]</f>
        <v>3361060.36</v>
      </c>
      <c r="P26" s="12">
        <f>+Tabla26[[#This Row],[Traslado Ceniza]]+Tabla26[[#This Row],[Traslado Escoria]]+Tabla26[[#This Row],[Traslado Corteza]]+Tabla26[[#This Row],[Traslado RAD]]</f>
        <v>4063304.86</v>
      </c>
      <c r="Q26" s="12">
        <f t="shared" si="1"/>
        <v>7424365.2199999997</v>
      </c>
    </row>
    <row r="27" spans="1:18" x14ac:dyDescent="0.35">
      <c r="A27" s="17">
        <v>46055</v>
      </c>
      <c r="B27" s="13">
        <v>10.34</v>
      </c>
      <c r="C27" s="8">
        <v>227480</v>
      </c>
      <c r="D27" s="8">
        <v>56477.08</v>
      </c>
      <c r="E27" s="14">
        <v>172.48</v>
      </c>
      <c r="F27" s="8">
        <v>2674820</v>
      </c>
      <c r="G27" s="8">
        <v>3055483</v>
      </c>
      <c r="H27" s="10">
        <v>0</v>
      </c>
      <c r="I27" s="7">
        <v>0</v>
      </c>
      <c r="J27" s="7">
        <v>0</v>
      </c>
      <c r="K27" s="11">
        <v>45.03</v>
      </c>
      <c r="L27" s="8">
        <v>698325.24</v>
      </c>
      <c r="M27" s="8">
        <v>1149301</v>
      </c>
      <c r="O27" s="12">
        <f>+Tabla26[[#This Row],[Disposicion Ceniza]]+Tabla26[[#This Row],[Disposicion Escoria]]+Tabla26[[#This Row],[Disposicion Corteza]]+Tabla26[[#This Row],[Disposicion RAD]]</f>
        <v>3600625.24</v>
      </c>
      <c r="P27" s="12">
        <f>+Tabla26[[#This Row],[Traslado Ceniza]]+Tabla26[[#This Row],[Traslado Escoria]]+Tabla26[[#This Row],[Traslado Corteza]]+Tabla26[[#This Row],[Traslado RAD]]</f>
        <v>4261261.08</v>
      </c>
      <c r="Q27" s="12">
        <f t="shared" si="1"/>
        <v>7861886.3200000003</v>
      </c>
    </row>
    <row r="28" spans="1:18" x14ac:dyDescent="0.35">
      <c r="A28" s="17">
        <v>46084</v>
      </c>
      <c r="B28" s="13">
        <v>9.06</v>
      </c>
      <c r="C28" s="8">
        <v>199320</v>
      </c>
      <c r="D28" s="8">
        <v>49485.72</v>
      </c>
      <c r="E28" s="14">
        <v>165.36</v>
      </c>
      <c r="F28" s="8">
        <v>2349462</v>
      </c>
      <c r="G28" s="8">
        <v>2900191</v>
      </c>
      <c r="H28" s="10">
        <v>8.5500000000000007</v>
      </c>
      <c r="I28" s="8">
        <v>132593.40000000002</v>
      </c>
      <c r="J28" s="8">
        <v>156644.55000000002</v>
      </c>
      <c r="K28" s="10">
        <v>49.36</v>
      </c>
      <c r="L28" s="8">
        <v>765474.88</v>
      </c>
      <c r="M28" s="8">
        <v>1259815</v>
      </c>
      <c r="O28" s="12">
        <f>+Tabla26[[#This Row],[Disposicion Ceniza]]+Tabla26[[#This Row],[Disposicion Escoria]]+Tabla26[[#This Row],[Disposicion Corteza]]+Tabla26[[#This Row],[Disposicion RAD]]</f>
        <v>3446850.2800000003</v>
      </c>
      <c r="P28" s="12">
        <f>+Tabla26[[#This Row],[Traslado Ceniza]]+Tabla26[[#This Row],[Traslado Escoria]]+Tabla26[[#This Row],[Traslado Corteza]]+Tabla26[[#This Row],[Traslado RAD]]</f>
        <v>4366136.2699999996</v>
      </c>
      <c r="Q28" s="12">
        <f t="shared" si="1"/>
        <v>7812986.5499999998</v>
      </c>
    </row>
    <row r="29" spans="1:18" x14ac:dyDescent="0.35">
      <c r="A29" s="17">
        <v>46116</v>
      </c>
      <c r="B29" s="13">
        <v>35.28</v>
      </c>
      <c r="C29" s="8">
        <v>776160</v>
      </c>
      <c r="D29" s="8">
        <v>192699.36000000002</v>
      </c>
      <c r="E29" s="14">
        <v>194.03</v>
      </c>
      <c r="F29" s="8">
        <v>1250565</v>
      </c>
      <c r="G29" s="8">
        <v>3227860</v>
      </c>
      <c r="H29" s="10">
        <v>13.01</v>
      </c>
      <c r="I29" s="8">
        <v>201759.08</v>
      </c>
      <c r="J29" s="8">
        <v>238356.21</v>
      </c>
      <c r="K29" s="10">
        <v>10.83</v>
      </c>
      <c r="L29" s="8">
        <v>167951.64</v>
      </c>
      <c r="M29" s="8">
        <v>276414</v>
      </c>
      <c r="O29" s="12">
        <f>+Tabla26[[#This Row],[Disposicion Ceniza]]+Tabla26[[#This Row],[Disposicion Escoria]]+Tabla26[[#This Row],[Disposicion Corteza]]+Tabla26[[#This Row],[Disposicion RAD]]</f>
        <v>2396435.7199999997</v>
      </c>
      <c r="P29" s="12">
        <f>+Tabla26[[#This Row],[Traslado Ceniza]]+Tabla26[[#This Row],[Traslado Escoria]]+Tabla26[[#This Row],[Traslado Corteza]]+Tabla26[[#This Row],[Traslado RAD]]</f>
        <v>3935329.57</v>
      </c>
      <c r="Q29" s="12">
        <f t="shared" si="1"/>
        <v>6331765.2899999991</v>
      </c>
    </row>
    <row r="30" spans="1:18" x14ac:dyDescent="0.35">
      <c r="A30" s="17">
        <v>46173</v>
      </c>
      <c r="B30" s="13">
        <v>13.52</v>
      </c>
      <c r="C30" s="8">
        <v>297440</v>
      </c>
      <c r="D30" s="8">
        <v>73846</v>
      </c>
      <c r="E30" s="14">
        <v>318.51</v>
      </c>
      <c r="F30" s="7">
        <v>0</v>
      </c>
      <c r="G30" s="4">
        <v>4574441</v>
      </c>
      <c r="H30" s="10">
        <v>0</v>
      </c>
      <c r="I30" s="7">
        <v>0</v>
      </c>
      <c r="J30" s="7">
        <v>0</v>
      </c>
      <c r="K30" s="11">
        <v>64.16</v>
      </c>
      <c r="L30" s="8">
        <v>994993</v>
      </c>
      <c r="M30" s="8">
        <v>1588473</v>
      </c>
      <c r="O30" s="12">
        <f>+Tabla26[[#This Row],[Disposicion Ceniza]]+Tabla26[[#This Row],[Disposicion Escoria]]+Tabla26[[#This Row],[Disposicion Corteza]]+Tabla26[[#This Row],[Disposicion RAD]]</f>
        <v>1292433</v>
      </c>
      <c r="P30" s="12">
        <f>+Tabla26[[#This Row],[Traslado Ceniza]]+Tabla26[[#This Row],[Traslado Escoria]]+Tabla26[[#This Row],[Traslado Corteza]]+Tabla26[[#This Row],[Traslado RAD]]</f>
        <v>6236760</v>
      </c>
      <c r="Q30" s="12">
        <f t="shared" si="1"/>
        <v>7529193</v>
      </c>
    </row>
    <row r="31" spans="1:18" x14ac:dyDescent="0.35">
      <c r="A31" s="17">
        <v>46174</v>
      </c>
      <c r="B31" s="13">
        <v>19.63</v>
      </c>
      <c r="C31" s="8">
        <v>431860</v>
      </c>
      <c r="D31" s="8">
        <v>107219</v>
      </c>
      <c r="E31" s="14">
        <v>458.03</v>
      </c>
      <c r="F31" s="7">
        <v>0</v>
      </c>
      <c r="G31" s="4">
        <v>6578227</v>
      </c>
      <c r="H31" s="10">
        <v>29.73</v>
      </c>
      <c r="I31" s="4">
        <v>461053</v>
      </c>
      <c r="J31" s="4">
        <v>544683</v>
      </c>
      <c r="K31" s="11">
        <v>113.95</v>
      </c>
      <c r="L31" s="8">
        <v>1767137</v>
      </c>
      <c r="M31" s="8">
        <v>2821174</v>
      </c>
      <c r="O31" s="12">
        <f>+Tabla26[[#This Row],[Disposicion Ceniza]]+Tabla26[[#This Row],[Disposicion Escoria]]+Tabla26[[#This Row],[Disposicion Corteza]]+Tabla26[[#This Row],[Disposicion RAD]]</f>
        <v>2660050</v>
      </c>
      <c r="P31" s="12">
        <f>+Tabla26[[#This Row],[Traslado Ceniza]]+Tabla26[[#This Row],[Traslado Escoria]]+Tabla26[[#This Row],[Traslado Corteza]]+Tabla26[[#This Row],[Traslado RAD]]</f>
        <v>10051303</v>
      </c>
      <c r="Q31" s="12">
        <f t="shared" si="1"/>
        <v>12711353</v>
      </c>
    </row>
    <row r="32" spans="1:18" hidden="1" x14ac:dyDescent="0.35">
      <c r="A32" s="2" t="s">
        <v>0</v>
      </c>
      <c r="B32" s="9">
        <f>SUBTOTAL(109,B2:B31)</f>
        <v>1665.6999999999998</v>
      </c>
      <c r="C32" s="8">
        <f>SUBTOTAL(109,C2:C29)</f>
        <v>30575820</v>
      </c>
      <c r="D32" s="8">
        <f>SUBTOTAL(109,D2:D29)</f>
        <v>8336476.1399999997</v>
      </c>
      <c r="E32" s="10">
        <f>SUBTOTAL(109,E2:E31)</f>
        <v>6473.86</v>
      </c>
      <c r="F32" s="8">
        <f>SUBTOTAL(109,F2:F29)</f>
        <v>54578070</v>
      </c>
      <c r="G32" s="8">
        <f>SUBTOTAL(109,G2:G29)</f>
        <v>90876075.299999997</v>
      </c>
      <c r="H32" s="10">
        <f>SUBTOTAL(109,H2:H31)</f>
        <v>257.83</v>
      </c>
      <c r="I32" s="8">
        <f>SUBTOTAL(109,I2:I29)</f>
        <v>3182032.52245</v>
      </c>
      <c r="J32" s="8">
        <f>SUBTOTAL(109,J2:J29)</f>
        <v>6343949.4600000009</v>
      </c>
      <c r="K32" s="10">
        <f>SUBTOTAL(109,K2:K31)</f>
        <v>2140.0600000000004</v>
      </c>
      <c r="L32" s="8">
        <f>SUBTOTAL(109,L2:L29)</f>
        <v>27706621.474199999</v>
      </c>
      <c r="M32" s="8">
        <f>SUBTOTAL(109,M2:M29)</f>
        <v>57261740.059999995</v>
      </c>
      <c r="O32" s="12">
        <f>SUM(O2:O31)</f>
        <v>119995026.99664998</v>
      </c>
      <c r="P32" s="12">
        <f>SUM(P2:P31)</f>
        <v>179106303.96000007</v>
      </c>
      <c r="Q32" s="12">
        <f t="shared" si="1"/>
        <v>299101330.95665002</v>
      </c>
    </row>
    <row r="33" spans="1:17" x14ac:dyDescent="0.35">
      <c r="A33" s="17">
        <v>46204</v>
      </c>
      <c r="B33" s="13">
        <v>19.309999999999999</v>
      </c>
      <c r="C33" s="8">
        <v>424820</v>
      </c>
      <c r="D33" s="8">
        <v>105471.21999999999</v>
      </c>
      <c r="E33" s="14">
        <v>694.75</v>
      </c>
      <c r="F33" s="7">
        <v>0</v>
      </c>
      <c r="G33" s="8">
        <v>9977999.5</v>
      </c>
      <c r="H33" s="10">
        <v>31.42</v>
      </c>
      <c r="I33" s="8">
        <v>487261.36000000004</v>
      </c>
      <c r="J33" s="8">
        <v>575645.82000000007</v>
      </c>
      <c r="K33" s="11">
        <v>111.67</v>
      </c>
      <c r="L33" s="8">
        <v>1731778.36</v>
      </c>
      <c r="M33" s="8">
        <v>2709449</v>
      </c>
      <c r="O33" s="12">
        <v>2643859.7200000002</v>
      </c>
      <c r="P33" s="12">
        <v>13368565.540000001</v>
      </c>
      <c r="Q33" s="12">
        <f>+P33+O33</f>
        <v>16012425.260000002</v>
      </c>
    </row>
    <row r="34" spans="1:17" x14ac:dyDescent="0.35">
      <c r="A34" s="17">
        <v>46235</v>
      </c>
      <c r="B34" s="13">
        <v>21.41</v>
      </c>
      <c r="C34" s="8">
        <v>471020</v>
      </c>
      <c r="D34" s="8">
        <v>116941</v>
      </c>
      <c r="E34" s="14">
        <v>626.78</v>
      </c>
      <c r="F34" s="7">
        <v>0</v>
      </c>
      <c r="G34" s="8">
        <v>9001814</v>
      </c>
      <c r="H34" s="10">
        <v>42.05</v>
      </c>
      <c r="I34" s="8">
        <v>652111</v>
      </c>
      <c r="J34" s="8">
        <v>770398</v>
      </c>
      <c r="K34" s="11">
        <v>141.29</v>
      </c>
      <c r="L34" s="8">
        <v>2191125</v>
      </c>
      <c r="M34" s="8">
        <v>3428119</v>
      </c>
      <c r="O34" s="12">
        <v>3314256.7199999997</v>
      </c>
      <c r="P34" s="12">
        <v>13317273.1</v>
      </c>
      <c r="Q34" s="12">
        <f>+P34+O34</f>
        <v>16631529.82</v>
      </c>
    </row>
    <row r="35" spans="1:17" x14ac:dyDescent="0.35">
      <c r="Q35" s="12"/>
    </row>
    <row r="36" spans="1:17" x14ac:dyDescent="0.35">
      <c r="E36" s="15"/>
    </row>
    <row r="39" spans="1:17" x14ac:dyDescent="0.35">
      <c r="D39" s="12"/>
      <c r="F39" s="15"/>
    </row>
  </sheetData>
  <phoneticPr fontId="8" type="noConversion"/>
  <pageMargins left="0.7" right="0.7" top="0.75" bottom="0.75" header="0.3" footer="0.3"/>
  <ignoredErrors>
    <ignoredError sqref="L32:M32 C32:D32 F32:G32 I32:J32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NO PELIGROSOS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2026-09-02T20:21:08Z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2026-05-21T15:19:42Z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467e4fc5-8960-4ceb-8d76-4fa1ecae8266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